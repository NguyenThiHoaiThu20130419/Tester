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nh Quan\Desktop\"/>
    </mc:Choice>
  </mc:AlternateContent>
  <xr:revisionPtr revIDLastSave="0" documentId="8_{8520D16D-9F74-4D25-B8A7-9FE8D4F820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ver" sheetId="8" r:id="rId1"/>
    <sheet name="Test Policy" sheetId="2" r:id="rId2"/>
    <sheet name="Test Management" sheetId="3" r:id="rId3"/>
    <sheet name="Test Strategy" sheetId="4" r:id="rId4"/>
    <sheet name="Master Schedule" sheetId="5" r:id="rId5"/>
    <sheet name="Appendix" sheetId="7" r:id="rId6"/>
  </sheets>
  <externalReferences>
    <externalReference r:id="rId7"/>
  </externalReferences>
  <definedNames>
    <definedName name="ACTION" localSheetId="5">#REF!</definedName>
    <definedName name="ACTION" localSheetId="0">#REF!</definedName>
    <definedName name="ACTION">#REF!</definedName>
  </definedNames>
  <calcPr calcId="181029"/>
</workbook>
</file>

<file path=xl/calcChain.xml><?xml version="1.0" encoding="utf-8"?>
<calcChain xmlns="http://schemas.openxmlformats.org/spreadsheetml/2006/main">
  <c r="D34" i="5" l="1"/>
  <c r="C34" i="5"/>
  <c r="D33" i="5"/>
  <c r="C33" i="5"/>
  <c r="D32" i="5"/>
  <c r="C32" i="5"/>
  <c r="D31" i="5"/>
  <c r="C31" i="5"/>
  <c r="D30" i="5"/>
  <c r="C30" i="5"/>
  <c r="D29" i="5"/>
  <c r="C29" i="5"/>
  <c r="A16" i="5"/>
  <c r="A15" i="5"/>
  <c r="A14" i="5"/>
  <c r="A13" i="5"/>
  <c r="A12" i="5"/>
  <c r="A11" i="5"/>
  <c r="A10" i="5"/>
  <c r="A9" i="5"/>
  <c r="A8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MS PGothic"/>
            <family val="2"/>
          </rPr>
          <t xml:space="preserve">
- A: Added
- D: Deleted
- M: Modified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1000000}">
      <text>
        <r>
          <rPr>
            <sz val="9"/>
            <color rgb="FF000000"/>
            <rFont val="MS PGothic"/>
          </rPr>
          <t>steps keep a risk from occurring or driving its impact to an acceptance level</t>
        </r>
      </text>
    </comment>
    <comment ref="G32" authorId="0" shapeId="0" xr:uid="{00000000-0006-0000-0200-000002000000}">
      <text>
        <r>
          <rPr>
            <sz val="9"/>
            <color rgb="FF000000"/>
            <rFont val="MS PGothic"/>
          </rPr>
          <t>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MS PGothic"/>
          </rPr>
          <t xml:space="preserve">It can be:
- Requirement
- Test Products
- Test environment
- Test tools
...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MS PGothic"/>
          </rPr>
          <t>- manual
- test tool
…</t>
        </r>
      </text>
    </comment>
  </commentList>
</comments>
</file>

<file path=xl/sharedStrings.xml><?xml version="1.0" encoding="utf-8"?>
<sst xmlns="http://schemas.openxmlformats.org/spreadsheetml/2006/main" count="271" uniqueCount="172">
  <si>
    <t>Test Policy</t>
  </si>
  <si>
    <t>Test Management</t>
  </si>
  <si>
    <t>Test process policy</t>
  </si>
  <si>
    <t>Test Scope</t>
  </si>
  <si>
    <t>Listing of test items in test process.</t>
  </si>
  <si>
    <t>Description of policies of testing process.</t>
  </si>
  <si>
    <t>#</t>
  </si>
  <si>
    <t>Items</t>
  </si>
  <si>
    <t>Description</t>
  </si>
  <si>
    <t>Responsibility</t>
  </si>
  <si>
    <t>Note</t>
  </si>
  <si>
    <t>Create test plan</t>
  </si>
  <si>
    <t>Leader</t>
  </si>
  <si>
    <t>Create test design</t>
  </si>
  <si>
    <t>Teseter</t>
  </si>
  <si>
    <t>Test case design policy</t>
  </si>
  <si>
    <t>Create test cases</t>
  </si>
  <si>
    <t>Description of policies of test case design.</t>
  </si>
  <si>
    <t>Create test data</t>
  </si>
  <si>
    <t>Execute system test</t>
  </si>
  <si>
    <t>Defects list</t>
  </si>
  <si>
    <t>Create test report</t>
  </si>
  <si>
    <t>Quality metric</t>
  </si>
  <si>
    <t>Deliverables</t>
  </si>
  <si>
    <t>Description of target</t>
  </si>
  <si>
    <t>Listing of documents will be delivered of test process.</t>
  </si>
  <si>
    <t>Target</t>
  </si>
  <si>
    <t>Delivered date</t>
  </si>
  <si>
    <t>Delivered by</t>
  </si>
  <si>
    <t>Delivered to</t>
  </si>
  <si>
    <t>TEST PLAN</t>
  </si>
  <si>
    <t>Test plan</t>
  </si>
  <si>
    <t>This document itself</t>
  </si>
  <si>
    <t>Pass/Fail Criteria</t>
  </si>
  <si>
    <t>Project Name</t>
  </si>
  <si>
    <t>The conditions that the testing must satisfy to end test.</t>
  </si>
  <si>
    <t>Test cases</t>
  </si>
  <si>
    <t>Criteria</t>
  </si>
  <si>
    <t>Priority</t>
  </si>
  <si>
    <t>Reviewer</t>
  </si>
  <si>
    <t>80% of completed test cases / total test cases (test  coverage &gt; 80%)</t>
  </si>
  <si>
    <t>Carry out test cases with highest priority first, then increase gradually.</t>
  </si>
  <si>
    <t>Defect logs</t>
  </si>
  <si>
    <t>Project Code</t>
  </si>
  <si>
    <t>Test successful coverage &gt;= 80%</t>
  </si>
  <si>
    <t>Test report</t>
  </si>
  <si>
    <t>Review date</t>
  </si>
  <si>
    <t>Management method</t>
  </si>
  <si>
    <t>Describe the management method of test process.</t>
  </si>
  <si>
    <t>Creator</t>
  </si>
  <si>
    <t>Object</t>
  </si>
  <si>
    <t>Method</t>
  </si>
  <si>
    <t>Suspension Criteria and Resumption Requirements</t>
  </si>
  <si>
    <t>Specify when to pause in a series of tests and requirements for resumption of test activities.</t>
  </si>
  <si>
    <t>Approver</t>
  </si>
  <si>
    <t>Suspension Criteria</t>
  </si>
  <si>
    <t>Version</t>
  </si>
  <si>
    <t>v1.0</t>
  </si>
  <si>
    <t>When a defect is introduced that cannot allow any further testing</t>
  </si>
  <si>
    <t>Approval Date</t>
  </si>
  <si>
    <t>A specific holiday shuts down both development and testing (Tet Holiday)</t>
  </si>
  <si>
    <t>Record of change</t>
  </si>
  <si>
    <t>If there is any network, hardware problem in the organisation, we can suspend testing</t>
  </si>
  <si>
    <t>If we got more pending requests with the development team</t>
  </si>
  <si>
    <t>Effective Date</t>
  </si>
  <si>
    <t>Change Item</t>
  </si>
  <si>
    <t>A, D, M</t>
  </si>
  <si>
    <t>Change description</t>
  </si>
  <si>
    <t>Resumption Requirements</t>
  </si>
  <si>
    <t>When the particular issue has been addressed and solved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</si>
  <si>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</si>
  <si>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</si>
  <si>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</si>
  <si>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</si>
  <si>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</si>
  <si>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Index</t>
  </si>
  <si>
    <t>Sheet Name</t>
  </si>
  <si>
    <t>Cover</t>
  </si>
  <si>
    <t>Title page</t>
  </si>
  <si>
    <t>- General policy for Test process, Test case design, Test Data
- List of requirements to Test/not Test
- Exit criteria for testing
- Suspension criteria and Resumption requirements</t>
  </si>
  <si>
    <t>Assumption</t>
  </si>
  <si>
    <t>- Test scope
- Deliverable
- Management method
- Risk
- Assumption
- Training plan</t>
  </si>
  <si>
    <t>Listing of all assumption of test process.</t>
  </si>
  <si>
    <t>Test Strategy</t>
  </si>
  <si>
    <t xml:space="preserve">Identification of Test level, Test types, Test environments, Test data and Enviroment for test </t>
  </si>
  <si>
    <t>Type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</si>
  <si>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</si>
  <si>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</si>
  <si>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</si>
  <si>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</si>
  <si>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</si>
  <si>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</si>
  <si>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Training Plan</t>
  </si>
  <si>
    <t>Plan training for test team.</t>
  </si>
  <si>
    <t>Training Topic</t>
  </si>
  <si>
    <t>Name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</si>
  <si>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</si>
  <si>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</si>
  <si>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</si>
  <si>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</si>
  <si>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</si>
  <si>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</si>
  <si>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</si>
  <si>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</si>
  <si>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</si>
  <si>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</si>
  <si>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t xml:space="preserve">
</t>
    </r>
    <r>
      <rPr>
        <sz val="9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</si>
  <si>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</si>
  <si>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</si>
  <si>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</si>
  <si>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</si>
  <si>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</si>
  <si>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Tester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</si>
  <si>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</si>
  <si>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</si>
  <si>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</si>
  <si>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</si>
  <si>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</si>
  <si>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</si>
  <si>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</si>
  <si>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</si>
  <si>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Standard Fsoft</t>
  </si>
  <si>
    <t>OS</t>
  </si>
  <si>
    <t>Software</t>
  </si>
  <si>
    <t>Item</t>
  </si>
  <si>
    <t>Responsibilities</t>
  </si>
  <si>
    <t>Create test case</t>
  </si>
  <si>
    <t>Evaluting exit criteria &amp; Test report</t>
  </si>
  <si>
    <t>Project Team</t>
  </si>
  <si>
    <t>Listing of all workers join the testing process</t>
  </si>
  <si>
    <t>Worker / Doer</t>
  </si>
  <si>
    <t>Position</t>
  </si>
  <si>
    <t xml:space="preserve">- Read and Analyze Doccument, test design, test case, thực thi các test case, logs bug cho chức năng Danh sách sau quân sự
</t>
  </si>
  <si>
    <t>Member</t>
  </si>
  <si>
    <t>Term definition</t>
  </si>
  <si>
    <t>Term</t>
  </si>
  <si>
    <t>Definition/explanation</t>
  </si>
  <si>
    <t>Execute test and log bugs</t>
  </si>
  <si>
    <t>Review</t>
  </si>
  <si>
    <t>Task</t>
  </si>
  <si>
    <t>Start day from 9/12/2019</t>
  </si>
  <si>
    <t>Duration</t>
  </si>
  <si>
    <t>Detail Schedule</t>
  </si>
  <si>
    <t>Liên kết</t>
  </si>
  <si>
    <t>Glossary</t>
  </si>
  <si>
    <t>Software is correct with SRS</t>
  </si>
  <si>
    <t>Customer,PM,Team</t>
  </si>
  <si>
    <t>Updating…</t>
  </si>
  <si>
    <t>30/10/2024</t>
  </si>
  <si>
    <t>Test Manager</t>
  </si>
  <si>
    <t>Team members do not have much experience in testing software</t>
  </si>
  <si>
    <t>Must plan to study, practice to hone skills</t>
  </si>
  <si>
    <t>1. Follow the teacher's lesson in class
2. Organize group meetings, help each other improve, cultivate the weak parts</t>
  </si>
  <si>
    <t>Order System</t>
  </si>
  <si>
    <t>Laptop, Smartphone</t>
  </si>
  <si>
    <t>Window 10</t>
  </si>
  <si>
    <t>Database</t>
  </si>
  <si>
    <t>Network</t>
  </si>
  <si>
    <t>Google Chrome 86.0.4240.198</t>
  </si>
  <si>
    <t>Web browser</t>
  </si>
  <si>
    <t>Tool</t>
  </si>
  <si>
    <t>Microsoft Office Excel 2016
Microsoft Office Word 2016</t>
  </si>
  <si>
    <t>Nguyễn Thị Hoài Thu</t>
  </si>
  <si>
    <t>Nguyễn Ngọc Minh Thư</t>
  </si>
  <si>
    <t>Phạm Hữu Minh Quân</t>
  </si>
  <si>
    <t>Trần Hoài Nam</t>
  </si>
  <si>
    <t>Đỗ Quang Huy</t>
  </si>
  <si>
    <t>Slides software testing subject</t>
  </si>
  <si>
    <t xml:space="preserve">Attendance&amp;PayrollSystemSRS.docx </t>
  </si>
  <si>
    <t>Test Policy
(Link với sheet tên tương ứng)</t>
  </si>
  <si>
    <t>Tran Thi Thanh Nga</t>
  </si>
  <si>
    <t>Group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</si>
</sst>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9">
    <font>
      <sz val="9"/>
      <color rgb="FF000000"/>
      <name val="MS PGothic"/>
    </font>
    <font>
      <sz val="10"/>
      <color theme="1"/>
      <name val="Arial"/>
    </font>
    <font>
      <sz val="10"/>
      <color theme="1"/>
      <name val="Tahoma"/>
    </font>
    <font>
      <sz val="9"/>
      <color theme="1"/>
      <name val="Arial"/>
    </font>
    <font>
      <b/>
      <sz val="20"/>
      <color rgb="FF000080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9"/>
      <name val="MS PGothic"/>
    </font>
    <font>
      <sz val="8"/>
      <color theme="1"/>
      <name val="Arial"/>
    </font>
    <font>
      <sz val="10"/>
      <color rgb="FF0000FF"/>
      <name val="Arial"/>
    </font>
    <font>
      <sz val="9"/>
      <color theme="1"/>
      <name val="Arial"/>
    </font>
    <font>
      <sz val="10"/>
      <name val="Arial"/>
    </font>
    <font>
      <b/>
      <sz val="10"/>
      <color theme="1"/>
      <name val="Tahoma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b/>
      <sz val="18"/>
      <color theme="1"/>
      <name val="Arial"/>
    </font>
    <font>
      <b/>
      <sz val="20"/>
      <color rgb="FF000000"/>
      <name val="Tahoma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8"/>
      <color theme="1"/>
      <name val="Tahoma"/>
    </font>
    <font>
      <sz val="9"/>
      <color theme="1"/>
      <name val="Tahoma"/>
    </font>
    <font>
      <sz val="9"/>
      <name val="Arial"/>
    </font>
    <font>
      <sz val="9"/>
      <color rgb="FF000000"/>
      <name val="MS PGothic"/>
    </font>
    <font>
      <sz val="10"/>
      <color theme="1"/>
      <name val="Arial"/>
      <family val="2"/>
    </font>
    <font>
      <sz val="9"/>
      <name val="MS PGothic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0"/>
      <color theme="1"/>
      <name val="MS PGothic"/>
      <family val="2"/>
    </font>
    <font>
      <sz val="8"/>
      <name val="MS PGothic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10"/>
      <color rgb="FF000080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i/>
      <sz val="10"/>
      <color theme="1"/>
      <name val="Tahoma"/>
      <family val="2"/>
    </font>
    <font>
      <b/>
      <sz val="9"/>
      <color rgb="FF0000FF"/>
      <name val="Tahoma"/>
      <family val="2"/>
    </font>
    <font>
      <b/>
      <sz val="20"/>
      <color theme="1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  <font>
      <sz val="9"/>
      <color rgb="FF000000"/>
      <name val="MS P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1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1" fillId="0" borderId="69"/>
  </cellStyleXfs>
  <cellXfs count="3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0" fillId="3" borderId="7" xfId="0" applyFont="1" applyFill="1" applyBorder="1" applyAlignment="1">
      <alignment vertical="center"/>
    </xf>
    <xf numFmtId="0" fontId="10" fillId="3" borderId="9" xfId="0" applyFont="1" applyFill="1" applyBorder="1" applyAlignment="1">
      <alignment vertical="center"/>
    </xf>
    <xf numFmtId="0" fontId="15" fillId="0" borderId="36" xfId="0" applyFont="1" applyBorder="1" applyAlignment="1">
      <alignment horizontal="center" vertical="center"/>
    </xf>
    <xf numFmtId="0" fontId="15" fillId="0" borderId="38" xfId="0" applyFont="1" applyBorder="1" applyAlignment="1">
      <alignment vertical="center"/>
    </xf>
    <xf numFmtId="9" fontId="15" fillId="0" borderId="38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vertical="center" wrapText="1"/>
    </xf>
    <xf numFmtId="0" fontId="15" fillId="0" borderId="42" xfId="0" applyFont="1" applyBorder="1" applyAlignment="1">
      <alignment vertical="center"/>
    </xf>
    <xf numFmtId="9" fontId="15" fillId="0" borderId="42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vertical="center" wrapText="1"/>
    </xf>
    <xf numFmtId="164" fontId="1" fillId="0" borderId="19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left" vertical="center" wrapText="1"/>
    </xf>
    <xf numFmtId="49" fontId="15" fillId="0" borderId="42" xfId="0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left" vertical="center" wrapText="1"/>
    </xf>
    <xf numFmtId="0" fontId="15" fillId="0" borderId="42" xfId="0" applyFont="1" applyBorder="1" applyAlignment="1">
      <alignment horizontal="center" vertical="center"/>
    </xf>
    <xf numFmtId="0" fontId="15" fillId="0" borderId="42" xfId="0" applyFont="1" applyBorder="1" applyAlignment="1">
      <alignment vertical="center" wrapText="1"/>
    </xf>
    <xf numFmtId="0" fontId="10" fillId="3" borderId="57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70" xfId="0" applyFont="1" applyBorder="1" applyAlignment="1">
      <alignment horizontal="center" vertical="center"/>
    </xf>
    <xf numFmtId="0" fontId="10" fillId="3" borderId="50" xfId="0" applyFont="1" applyFill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0" fillId="3" borderId="57" xfId="0" applyFont="1" applyFill="1" applyBorder="1" applyAlignment="1">
      <alignment horizontal="center" vertical="center"/>
    </xf>
    <xf numFmtId="0" fontId="1" fillId="0" borderId="79" xfId="0" applyFont="1" applyBorder="1" applyAlignment="1">
      <alignment horizontal="center" vertical="center" wrapText="1"/>
    </xf>
    <xf numFmtId="0" fontId="7" fillId="0" borderId="81" xfId="0" applyFont="1" applyBorder="1" applyAlignment="1">
      <alignment vertical="center"/>
    </xf>
    <xf numFmtId="0" fontId="1" fillId="0" borderId="82" xfId="0" applyFont="1" applyBorder="1" applyAlignment="1">
      <alignment vertical="center"/>
    </xf>
    <xf numFmtId="0" fontId="1" fillId="0" borderId="83" xfId="0" applyFont="1" applyBorder="1" applyAlignment="1">
      <alignment vertical="center"/>
    </xf>
    <xf numFmtId="0" fontId="10" fillId="3" borderId="84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2" fillId="2" borderId="1" xfId="0" applyFont="1" applyFill="1" applyBorder="1"/>
    <xf numFmtId="0" fontId="17" fillId="3" borderId="42" xfId="0" applyFont="1" applyFill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65" fontId="1" fillId="0" borderId="94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0" fillId="3" borderId="95" xfId="0" applyFont="1" applyFill="1" applyBorder="1" applyAlignment="1">
      <alignment horizontal="right" vertical="center" wrapText="1"/>
    </xf>
    <xf numFmtId="0" fontId="10" fillId="3" borderId="96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0" fontId="1" fillId="0" borderId="87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1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0" fillId="3" borderId="102" xfId="0" applyFont="1" applyFill="1" applyBorder="1" applyAlignment="1">
      <alignment horizontal="center" vertical="center"/>
    </xf>
    <xf numFmtId="0" fontId="10" fillId="3" borderId="103" xfId="0" applyFont="1" applyFill="1" applyBorder="1" applyAlignment="1">
      <alignment horizontal="center" vertical="center"/>
    </xf>
    <xf numFmtId="0" fontId="10" fillId="3" borderId="10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4" fillId="2" borderId="1" xfId="0" applyFont="1" applyFill="1" applyBorder="1"/>
    <xf numFmtId="0" fontId="1" fillId="0" borderId="38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" fillId="0" borderId="6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6" fillId="3" borderId="105" xfId="0" applyFont="1" applyFill="1" applyBorder="1" applyAlignment="1">
      <alignment horizontal="center" vertical="center"/>
    </xf>
    <xf numFmtId="0" fontId="1" fillId="0" borderId="89" xfId="0" applyFont="1" applyBorder="1" applyAlignment="1">
      <alignment horizontal="left" vertical="center" wrapText="1"/>
    </xf>
    <xf numFmtId="0" fontId="16" fillId="3" borderId="42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13" xfId="0" applyFont="1" applyBorder="1" applyAlignment="1">
      <alignment vertical="top" wrapText="1"/>
    </xf>
    <xf numFmtId="14" fontId="1" fillId="0" borderId="0" xfId="0" applyNumberFormat="1" applyFont="1" applyAlignment="1">
      <alignment horizontal="left" vertical="top" wrapText="1"/>
    </xf>
    <xf numFmtId="0" fontId="1" fillId="0" borderId="20" xfId="0" applyFont="1" applyBorder="1" applyAlignment="1">
      <alignment vertical="top" wrapText="1"/>
    </xf>
    <xf numFmtId="0" fontId="1" fillId="0" borderId="65" xfId="0" applyFont="1" applyBorder="1" applyAlignment="1">
      <alignment horizontal="left" vertical="center"/>
    </xf>
    <xf numFmtId="164" fontId="1" fillId="0" borderId="63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" fillId="0" borderId="73" xfId="0" applyFont="1" applyBorder="1" applyAlignment="1">
      <alignment horizontal="left" vertical="center"/>
    </xf>
    <xf numFmtId="164" fontId="1" fillId="0" borderId="72" xfId="0" applyNumberFormat="1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5" fillId="0" borderId="107" xfId="0" applyFont="1" applyBorder="1" applyAlignment="1">
      <alignment horizontal="left" vertical="center"/>
    </xf>
    <xf numFmtId="0" fontId="1" fillId="0" borderId="108" xfId="0" applyFont="1" applyBorder="1" applyAlignment="1">
      <alignment horizontal="center" vertical="center"/>
    </xf>
    <xf numFmtId="0" fontId="1" fillId="0" borderId="109" xfId="0" applyFont="1" applyBorder="1" applyAlignment="1">
      <alignment horizontal="left" vertical="center"/>
    </xf>
    <xf numFmtId="0" fontId="1" fillId="0" borderId="82" xfId="0" applyFont="1" applyBorder="1" applyAlignment="1">
      <alignment horizontal="center" vertical="center"/>
    </xf>
    <xf numFmtId="0" fontId="15" fillId="0" borderId="110" xfId="0" applyFont="1" applyBorder="1" applyAlignment="1">
      <alignment horizontal="left" vertical="center"/>
    </xf>
    <xf numFmtId="0" fontId="10" fillId="0" borderId="111" xfId="0" applyFont="1" applyBorder="1" applyAlignment="1">
      <alignment horizontal="center" vertical="center"/>
    </xf>
    <xf numFmtId="0" fontId="10" fillId="3" borderId="84" xfId="0" applyFont="1" applyFill="1" applyBorder="1" applyAlignment="1">
      <alignment horizontal="left" vertical="top" wrapText="1"/>
    </xf>
    <xf numFmtId="0" fontId="10" fillId="0" borderId="100" xfId="0" applyFont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15" fillId="0" borderId="19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7" fillId="2" borderId="0" xfId="0" applyFont="1" applyFill="1" applyAlignment="1">
      <alignment vertical="center"/>
    </xf>
    <xf numFmtId="0" fontId="28" fillId="0" borderId="89" xfId="0" applyFont="1" applyBorder="1" applyAlignment="1">
      <alignment horizontal="center" vertical="center" wrapText="1"/>
    </xf>
    <xf numFmtId="0" fontId="29" fillId="0" borderId="89" xfId="0" applyFont="1" applyBorder="1" applyAlignment="1">
      <alignment vertical="top" wrapText="1"/>
    </xf>
    <xf numFmtId="0" fontId="2" fillId="0" borderId="89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1" fillId="0" borderId="111" xfId="0" applyFont="1" applyBorder="1" applyAlignment="1">
      <alignment vertical="top" wrapText="1"/>
    </xf>
    <xf numFmtId="0" fontId="1" fillId="0" borderId="89" xfId="0" applyFont="1" applyBorder="1" applyAlignment="1">
      <alignment vertical="center" wrapText="1"/>
    </xf>
    <xf numFmtId="0" fontId="16" fillId="3" borderId="11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89" xfId="0" applyFont="1" applyBorder="1" applyAlignment="1">
      <alignment horizontal="center" vertical="center" wrapText="1"/>
    </xf>
    <xf numFmtId="0" fontId="1" fillId="0" borderId="89" xfId="0" applyFont="1" applyBorder="1" applyAlignment="1">
      <alignment vertical="top" wrapText="1"/>
    </xf>
    <xf numFmtId="0" fontId="11" fillId="0" borderId="54" xfId="0" applyFont="1" applyBorder="1" applyAlignment="1">
      <alignment vertical="center"/>
    </xf>
    <xf numFmtId="0" fontId="11" fillId="0" borderId="55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" fillId="0" borderId="66" xfId="0" applyFont="1" applyBorder="1" applyAlignment="1">
      <alignment horizontal="center" vertical="center" wrapText="1"/>
    </xf>
    <xf numFmtId="0" fontId="11" fillId="0" borderId="67" xfId="0" applyFont="1" applyBorder="1" applyAlignment="1">
      <alignment vertical="center"/>
    </xf>
    <xf numFmtId="0" fontId="1" fillId="0" borderId="71" xfId="0" applyFont="1" applyBorder="1" applyAlignment="1">
      <alignment horizontal="center" vertical="center" wrapText="1"/>
    </xf>
    <xf numFmtId="0" fontId="11" fillId="0" borderId="75" xfId="0" applyFont="1" applyBorder="1" applyAlignment="1">
      <alignment vertical="center"/>
    </xf>
    <xf numFmtId="0" fontId="10" fillId="3" borderId="5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vertical="center"/>
    </xf>
    <xf numFmtId="14" fontId="1" fillId="0" borderId="77" xfId="0" applyNumberFormat="1" applyFont="1" applyBorder="1" applyAlignment="1">
      <alignment horizontal="left" vertical="center" wrapText="1"/>
    </xf>
    <xf numFmtId="0" fontId="11" fillId="0" borderId="78" xfId="0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 wrapText="1"/>
    </xf>
    <xf numFmtId="14" fontId="1" fillId="0" borderId="63" xfId="0" applyNumberFormat="1" applyFont="1" applyBorder="1" applyAlignment="1">
      <alignment horizontal="left" vertical="center"/>
    </xf>
    <xf numFmtId="0" fontId="11" fillId="0" borderId="65" xfId="0" applyFont="1" applyBorder="1" applyAlignment="1">
      <alignment vertical="center"/>
    </xf>
    <xf numFmtId="14" fontId="1" fillId="0" borderId="72" xfId="0" applyNumberFormat="1" applyFont="1" applyBorder="1" applyAlignment="1">
      <alignment horizontal="left" vertical="center" wrapText="1"/>
    </xf>
    <xf numFmtId="0" fontId="11" fillId="0" borderId="73" xfId="0" applyFont="1" applyBorder="1" applyAlignment="1">
      <alignment vertical="center"/>
    </xf>
    <xf numFmtId="0" fontId="10" fillId="3" borderId="8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/>
    </xf>
    <xf numFmtId="0" fontId="1" fillId="0" borderId="47" xfId="0" applyFont="1" applyBorder="1" applyAlignment="1">
      <alignment horizontal="left" vertical="center" wrapText="1"/>
    </xf>
    <xf numFmtId="0" fontId="11" fillId="0" borderId="49" xfId="0" applyFont="1" applyBorder="1" applyAlignment="1">
      <alignment vertical="center"/>
    </xf>
    <xf numFmtId="0" fontId="3" fillId="0" borderId="63" xfId="0" applyFont="1" applyBorder="1" applyAlignment="1">
      <alignment horizontal="left" vertical="center" wrapText="1"/>
    </xf>
    <xf numFmtId="0" fontId="11" fillId="0" borderId="68" xfId="0" applyFont="1" applyBorder="1" applyAlignment="1">
      <alignment vertical="center"/>
    </xf>
    <xf numFmtId="0" fontId="3" fillId="0" borderId="72" xfId="0" applyFont="1" applyBorder="1" applyAlignment="1">
      <alignment vertical="center" wrapText="1"/>
    </xf>
    <xf numFmtId="0" fontId="11" fillId="0" borderId="74" xfId="0" applyFont="1" applyBorder="1" applyAlignment="1">
      <alignment vertical="center"/>
    </xf>
    <xf numFmtId="0" fontId="3" fillId="0" borderId="72" xfId="0" applyFont="1" applyBorder="1" applyAlignment="1">
      <alignment horizontal="left" vertical="center" wrapText="1"/>
    </xf>
    <xf numFmtId="0" fontId="3" fillId="0" borderId="77" xfId="0" applyFont="1" applyBorder="1" applyAlignment="1">
      <alignment horizontal="left" vertical="center" wrapText="1"/>
    </xf>
    <xf numFmtId="0" fontId="11" fillId="0" borderId="80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14" fontId="1" fillId="0" borderId="15" xfId="0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2" fillId="0" borderId="15" xfId="0" applyFont="1" applyBorder="1" applyAlignment="1">
      <alignment horizontal="left" vertical="center" wrapText="1"/>
    </xf>
    <xf numFmtId="0" fontId="11" fillId="0" borderId="21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17" fillId="3" borderId="51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/>
    </xf>
    <xf numFmtId="0" fontId="1" fillId="0" borderId="7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 wrapText="1"/>
    </xf>
    <xf numFmtId="0" fontId="11" fillId="0" borderId="93" xfId="0" applyFont="1" applyBorder="1" applyAlignment="1">
      <alignment vertical="center"/>
    </xf>
    <xf numFmtId="0" fontId="11" fillId="0" borderId="86" xfId="0" applyFont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1" fillId="0" borderId="51" xfId="0" applyFont="1" applyBorder="1" applyAlignment="1">
      <alignment horizontal="left" vertical="center" wrapText="1"/>
    </xf>
    <xf numFmtId="0" fontId="22" fillId="0" borderId="51" xfId="0" applyFont="1" applyBorder="1" applyAlignment="1">
      <alignment horizontal="center" vertical="center" wrapText="1"/>
    </xf>
    <xf numFmtId="0" fontId="11" fillId="0" borderId="99" xfId="0" applyFont="1" applyBorder="1" applyAlignment="1">
      <alignment vertical="center"/>
    </xf>
    <xf numFmtId="0" fontId="18" fillId="3" borderId="84" xfId="0" applyFont="1" applyFill="1" applyBorder="1" applyAlignment="1">
      <alignment horizontal="center" vertical="center" wrapText="1"/>
    </xf>
    <xf numFmtId="0" fontId="11" fillId="0" borderId="97" xfId="0" applyFont="1" applyBorder="1" applyAlignment="1">
      <alignment vertical="center"/>
    </xf>
    <xf numFmtId="0" fontId="19" fillId="3" borderId="84" xfId="0" applyFont="1" applyFill="1" applyBorder="1" applyAlignment="1">
      <alignment horizontal="left" vertical="center" wrapText="1"/>
    </xf>
    <xf numFmtId="0" fontId="18" fillId="3" borderId="84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1" fillId="0" borderId="83" xfId="0" applyFont="1" applyBorder="1" applyAlignment="1">
      <alignment vertical="center"/>
    </xf>
    <xf numFmtId="0" fontId="10" fillId="3" borderId="84" xfId="0" applyFont="1" applyFill="1" applyBorder="1" applyAlignment="1">
      <alignment horizontal="center" vertical="center" wrapText="1"/>
    </xf>
    <xf numFmtId="0" fontId="11" fillId="0" borderId="98" xfId="0" applyFont="1" applyBorder="1" applyAlignment="1">
      <alignment vertical="center"/>
    </xf>
    <xf numFmtId="0" fontId="1" fillId="0" borderId="100" xfId="0" applyFont="1" applyBorder="1" applyAlignment="1">
      <alignment horizontal="left" vertical="top" wrapText="1"/>
    </xf>
    <xf numFmtId="0" fontId="11" fillId="0" borderId="101" xfId="0" applyFont="1" applyBorder="1" applyAlignment="1">
      <alignment vertical="center"/>
    </xf>
    <xf numFmtId="0" fontId="1" fillId="0" borderId="81" xfId="0" applyFont="1" applyBorder="1" applyAlignment="1">
      <alignment horizontal="left" vertical="top" wrapText="1"/>
    </xf>
    <xf numFmtId="0" fontId="11" fillId="0" borderId="82" xfId="0" applyFont="1" applyBorder="1" applyAlignment="1">
      <alignment vertical="center"/>
    </xf>
    <xf numFmtId="0" fontId="1" fillId="0" borderId="100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164" fontId="32" fillId="0" borderId="38" xfId="0" applyNumberFormat="1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86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3" fillId="0" borderId="113" xfId="0" applyFont="1" applyBorder="1" applyAlignment="1">
      <alignment horizontal="left" vertical="center" wrapText="1"/>
    </xf>
    <xf numFmtId="0" fontId="33" fillId="0" borderId="93" xfId="0" applyFont="1" applyBorder="1" applyAlignment="1">
      <alignment horizontal="left" vertical="center" wrapText="1"/>
    </xf>
    <xf numFmtId="0" fontId="32" fillId="0" borderId="30" xfId="0" applyFont="1" applyBorder="1" applyAlignment="1">
      <alignment vertical="center"/>
    </xf>
    <xf numFmtId="0" fontId="34" fillId="0" borderId="25" xfId="0" applyFont="1" applyBorder="1" applyAlignment="1">
      <alignment horizontal="left" vertical="center" wrapText="1"/>
    </xf>
    <xf numFmtId="0" fontId="33" fillId="0" borderId="113" xfId="0" applyFont="1" applyBorder="1" applyAlignment="1">
      <alignment vertical="center"/>
    </xf>
    <xf numFmtId="0" fontId="35" fillId="0" borderId="25" xfId="0" applyFont="1" applyBorder="1" applyAlignment="1">
      <alignment horizontal="left" vertical="center"/>
    </xf>
    <xf numFmtId="0" fontId="33" fillId="0" borderId="93" xfId="0" applyFont="1" applyBorder="1" applyAlignment="1">
      <alignment vertical="center"/>
    </xf>
    <xf numFmtId="0" fontId="32" fillId="0" borderId="30" xfId="0" applyFont="1" applyBorder="1" applyAlignment="1">
      <alignment horizontal="left" vertical="center" wrapText="1"/>
    </xf>
    <xf numFmtId="0" fontId="33" fillId="0" borderId="86" xfId="0" applyFont="1" applyBorder="1" applyAlignment="1">
      <alignment vertical="center"/>
    </xf>
    <xf numFmtId="0" fontId="36" fillId="0" borderId="30" xfId="0" applyFont="1" applyBorder="1" applyAlignment="1">
      <alignment horizontal="center" vertical="center"/>
    </xf>
    <xf numFmtId="0" fontId="33" fillId="0" borderId="21" xfId="0" applyFont="1" applyBorder="1" applyAlignment="1">
      <alignment vertical="center"/>
    </xf>
    <xf numFmtId="0" fontId="32" fillId="0" borderId="30" xfId="0" applyFont="1" applyBorder="1" applyAlignment="1">
      <alignment horizontal="left" vertical="top" wrapText="1"/>
    </xf>
    <xf numFmtId="0" fontId="32" fillId="0" borderId="86" xfId="0" applyFont="1" applyBorder="1" applyAlignment="1">
      <alignment horizontal="left" vertical="top" wrapText="1"/>
    </xf>
    <xf numFmtId="0" fontId="32" fillId="0" borderId="21" xfId="0" applyFont="1" applyBorder="1" applyAlignment="1">
      <alignment horizontal="left" vertical="top" wrapText="1"/>
    </xf>
    <xf numFmtId="0" fontId="36" fillId="0" borderId="21" xfId="0" applyFont="1" applyBorder="1" applyAlignment="1">
      <alignment horizontal="center" vertical="center"/>
    </xf>
    <xf numFmtId="0" fontId="35" fillId="0" borderId="30" xfId="0" applyFont="1" applyBorder="1" applyAlignment="1">
      <alignment vertical="center"/>
    </xf>
    <xf numFmtId="0" fontId="35" fillId="0" borderId="30" xfId="0" applyFont="1" applyBorder="1" applyAlignment="1">
      <alignment horizontal="left" vertical="center"/>
    </xf>
    <xf numFmtId="0" fontId="32" fillId="0" borderId="89" xfId="0" applyFont="1" applyBorder="1" applyAlignment="1">
      <alignment vertical="center"/>
    </xf>
    <xf numFmtId="0" fontId="32" fillId="0" borderId="71" xfId="0" applyFont="1" applyBorder="1" applyAlignment="1">
      <alignment horizontal="left" vertical="center" wrapText="1"/>
    </xf>
    <xf numFmtId="0" fontId="33" fillId="0" borderId="90" xfId="0" applyFont="1" applyBorder="1" applyAlignment="1">
      <alignment vertical="center"/>
    </xf>
    <xf numFmtId="0" fontId="32" fillId="0" borderId="71" xfId="0" applyFont="1" applyBorder="1" applyAlignment="1">
      <alignment horizontal="left" vertical="center"/>
    </xf>
    <xf numFmtId="0" fontId="33" fillId="0" borderId="34" xfId="0" applyFont="1" applyBorder="1" applyAlignment="1">
      <alignment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93" xfId="0" applyNumberFormat="1" applyFont="1" applyBorder="1" applyAlignment="1">
      <alignment horizontal="center" vertical="center"/>
    </xf>
    <xf numFmtId="0" fontId="31" fillId="0" borderId="69" xfId="1" applyAlignment="1">
      <alignment vertical="center"/>
    </xf>
    <xf numFmtId="0" fontId="38" fillId="0" borderId="69" xfId="1" applyFont="1"/>
    <xf numFmtId="0" fontId="38" fillId="0" borderId="69" xfId="1" applyFont="1" applyAlignment="1">
      <alignment horizontal="left"/>
    </xf>
    <xf numFmtId="0" fontId="38" fillId="0" borderId="52" xfId="1" applyFont="1" applyBorder="1" applyAlignment="1">
      <alignment vertical="center"/>
    </xf>
    <xf numFmtId="166" fontId="38" fillId="0" borderId="42" xfId="1" applyNumberFormat="1" applyFont="1" applyBorder="1" applyAlignment="1">
      <alignment horizontal="center" vertical="center"/>
    </xf>
    <xf numFmtId="0" fontId="33" fillId="0" borderId="55" xfId="1" applyFont="1" applyBorder="1" applyAlignment="1">
      <alignment vertical="center"/>
    </xf>
    <xf numFmtId="0" fontId="33" fillId="0" borderId="99" xfId="1" applyFont="1" applyBorder="1" applyAlignment="1">
      <alignment vertical="center"/>
    </xf>
    <xf numFmtId="0" fontId="38" fillId="0" borderId="92" xfId="1" applyFont="1" applyBorder="1" applyAlignment="1">
      <alignment horizontal="left" vertical="center" wrapText="1"/>
    </xf>
    <xf numFmtId="0" fontId="38" fillId="0" borderId="69" xfId="1" applyFont="1" applyAlignment="1">
      <alignment vertical="top"/>
    </xf>
    <xf numFmtId="0" fontId="38" fillId="0" borderId="114" xfId="1" applyFont="1" applyBorder="1" applyAlignment="1">
      <alignment vertical="center"/>
    </xf>
    <xf numFmtId="0" fontId="38" fillId="0" borderId="97" xfId="1" applyFont="1" applyBorder="1" applyAlignment="1">
      <alignment horizontal="center" vertical="center"/>
    </xf>
    <xf numFmtId="0" fontId="33" fillId="0" borderId="83" xfId="1" applyFont="1" applyBorder="1" applyAlignment="1">
      <alignment vertical="center"/>
    </xf>
    <xf numFmtId="0" fontId="33" fillId="0" borderId="82" xfId="1" applyFont="1" applyBorder="1" applyAlignment="1">
      <alignment vertical="center"/>
    </xf>
    <xf numFmtId="0" fontId="38" fillId="0" borderId="115" xfId="1" applyFont="1" applyBorder="1" applyAlignment="1">
      <alignment horizontal="left" vertical="center" wrapText="1"/>
    </xf>
    <xf numFmtId="0" fontId="38" fillId="0" borderId="69" xfId="1" applyFont="1" applyAlignment="1">
      <alignment horizontal="center" vertical="center"/>
    </xf>
    <xf numFmtId="0" fontId="39" fillId="3" borderId="9" xfId="1" applyFont="1" applyFill="1" applyBorder="1" applyAlignment="1">
      <alignment horizontal="center" vertical="center"/>
    </xf>
    <xf numFmtId="0" fontId="39" fillId="3" borderId="7" xfId="1" applyFont="1" applyFill="1" applyBorder="1" applyAlignment="1">
      <alignment horizontal="center" vertical="center"/>
    </xf>
    <xf numFmtId="0" fontId="33" fillId="0" borderId="48" xfId="1" applyFont="1" applyBorder="1" applyAlignment="1">
      <alignment vertical="center"/>
    </xf>
    <xf numFmtId="0" fontId="33" fillId="0" borderId="46" xfId="1" applyFont="1" applyBorder="1" applyAlignment="1">
      <alignment vertical="center"/>
    </xf>
    <xf numFmtId="0" fontId="39" fillId="3" borderId="91" xfId="1" applyFont="1" applyFill="1" applyBorder="1" applyAlignment="1">
      <alignment horizontal="center" vertical="center"/>
    </xf>
    <xf numFmtId="0" fontId="38" fillId="2" borderId="69" xfId="1" applyFont="1" applyFill="1"/>
    <xf numFmtId="15" fontId="38" fillId="2" borderId="69" xfId="1" applyNumberFormat="1" applyFont="1" applyFill="1"/>
    <xf numFmtId="0" fontId="33" fillId="0" borderId="69" xfId="1" applyFont="1" applyAlignment="1">
      <alignment vertical="center"/>
    </xf>
    <xf numFmtId="0" fontId="40" fillId="2" borderId="69" xfId="1" applyFont="1" applyFill="1" applyAlignment="1">
      <alignment horizontal="left"/>
    </xf>
    <xf numFmtId="0" fontId="41" fillId="2" borderId="69" xfId="1" applyFont="1" applyFill="1"/>
    <xf numFmtId="0" fontId="38" fillId="0" borderId="88" xfId="1" applyFont="1" applyBorder="1" applyAlignment="1">
      <alignment vertical="center"/>
    </xf>
    <xf numFmtId="0" fontId="33" fillId="0" borderId="62" xfId="1" applyFont="1" applyBorder="1" applyAlignment="1">
      <alignment vertical="center"/>
    </xf>
    <xf numFmtId="0" fontId="33" fillId="0" borderId="61" xfId="1" applyFont="1" applyBorder="1" applyAlignment="1">
      <alignment vertical="center"/>
    </xf>
    <xf numFmtId="0" fontId="38" fillId="0" borderId="85" xfId="1" applyFont="1" applyBorder="1" applyAlignment="1">
      <alignment horizontal="left" vertical="center" wrapText="1"/>
    </xf>
    <xf numFmtId="0" fontId="42" fillId="0" borderId="60" xfId="1" applyFont="1" applyBorder="1" applyAlignment="1">
      <alignment vertical="center"/>
    </xf>
    <xf numFmtId="0" fontId="38" fillId="0" borderId="57" xfId="1" applyFont="1" applyBorder="1" applyAlignment="1">
      <alignment horizontal="left" vertical="center" wrapText="1"/>
    </xf>
    <xf numFmtId="0" fontId="42" fillId="0" borderId="50" xfId="1" applyFont="1" applyBorder="1" applyAlignment="1">
      <alignment vertical="center"/>
    </xf>
    <xf numFmtId="0" fontId="42" fillId="0" borderId="50" xfId="1" applyFont="1" applyBorder="1" applyAlignment="1">
      <alignment vertical="center" wrapText="1"/>
    </xf>
    <xf numFmtId="0" fontId="38" fillId="0" borderId="57" xfId="1" applyFont="1" applyBorder="1" applyAlignment="1">
      <alignment horizontal="left" vertical="center"/>
    </xf>
    <xf numFmtId="0" fontId="38" fillId="0" borderId="50" xfId="1" applyFont="1" applyBorder="1" applyAlignment="1">
      <alignment vertical="center"/>
    </xf>
    <xf numFmtId="0" fontId="41" fillId="3" borderId="9" xfId="1" applyFont="1" applyFill="1" applyBorder="1" applyAlignment="1">
      <alignment horizontal="center" vertical="center"/>
    </xf>
    <xf numFmtId="0" fontId="41" fillId="3" borderId="23" xfId="1" applyFont="1" applyFill="1" applyBorder="1" applyAlignment="1">
      <alignment horizontal="center" vertical="center"/>
    </xf>
    <xf numFmtId="0" fontId="41" fillId="3" borderId="3" xfId="1" applyFont="1" applyFill="1" applyBorder="1" applyAlignment="1">
      <alignment vertical="center"/>
    </xf>
    <xf numFmtId="0" fontId="38" fillId="0" borderId="69" xfId="1" applyFont="1" applyAlignment="1">
      <alignment horizontal="right"/>
    </xf>
    <xf numFmtId="0" fontId="33" fillId="0" borderId="56" xfId="1" applyFont="1" applyBorder="1" applyAlignment="1">
      <alignment vertical="center"/>
    </xf>
    <xf numFmtId="15" fontId="38" fillId="0" borderId="85" xfId="1" applyNumberFormat="1" applyFont="1" applyBorder="1" applyAlignment="1">
      <alignment horizontal="left" vertical="center"/>
    </xf>
    <xf numFmtId="0" fontId="38" fillId="0" borderId="64" xfId="1" applyFont="1" applyBorder="1" applyAlignment="1">
      <alignment horizontal="center" vertical="center"/>
    </xf>
    <xf numFmtId="0" fontId="38" fillId="0" borderId="64" xfId="1" applyFont="1" applyBorder="1" applyAlignment="1">
      <alignment horizontal="left" vertical="center" wrapText="1"/>
    </xf>
    <xf numFmtId="49" fontId="38" fillId="0" borderId="64" xfId="1" applyNumberFormat="1" applyFont="1" applyBorder="1" applyAlignment="1">
      <alignment horizontal="center" vertical="center"/>
    </xf>
    <xf numFmtId="14" fontId="43" fillId="0" borderId="60" xfId="1" applyNumberFormat="1" applyFont="1" applyBorder="1" applyAlignment="1">
      <alignment horizontal="right" vertical="center" wrapText="1"/>
    </xf>
    <xf numFmtId="0" fontId="33" fillId="0" borderId="53" xfId="1" applyFont="1" applyBorder="1" applyAlignment="1">
      <alignment vertical="center"/>
    </xf>
    <xf numFmtId="15" fontId="38" fillId="0" borderId="57" xfId="1" applyNumberFormat="1" applyFont="1" applyBorder="1" applyAlignment="1">
      <alignment horizontal="left" vertical="center"/>
    </xf>
    <xf numFmtId="0" fontId="38" fillId="0" borderId="42" xfId="1" applyFont="1" applyBorder="1" applyAlignment="1">
      <alignment horizontal="center" vertical="center"/>
    </xf>
    <xf numFmtId="0" fontId="38" fillId="0" borderId="42" xfId="1" applyFont="1" applyBorder="1" applyAlignment="1">
      <alignment vertical="center"/>
    </xf>
    <xf numFmtId="49" fontId="38" fillId="0" borderId="42" xfId="1" applyNumberFormat="1" applyFont="1" applyBorder="1" applyAlignment="1">
      <alignment horizontal="center" vertical="center"/>
    </xf>
    <xf numFmtId="14" fontId="43" fillId="0" borderId="50" xfId="1" applyNumberFormat="1" applyFont="1" applyBorder="1" applyAlignment="1">
      <alignment vertical="center" wrapText="1"/>
    </xf>
    <xf numFmtId="0" fontId="33" fillId="0" borderId="24" xfId="1" applyFont="1" applyBorder="1" applyAlignment="1">
      <alignment vertical="center"/>
    </xf>
    <xf numFmtId="0" fontId="39" fillId="3" borderId="23" xfId="1" applyFont="1" applyFill="1" applyBorder="1" applyAlignment="1">
      <alignment horizontal="center" vertical="center"/>
    </xf>
    <xf numFmtId="0" fontId="39" fillId="3" borderId="3" xfId="1" applyFont="1" applyFill="1" applyBorder="1" applyAlignment="1">
      <alignment horizontal="center" vertical="center"/>
    </xf>
    <xf numFmtId="0" fontId="38" fillId="0" borderId="56" xfId="1" applyFont="1" applyBorder="1" applyAlignment="1">
      <alignment horizontal="left" vertical="center"/>
    </xf>
    <xf numFmtId="0" fontId="39" fillId="3" borderId="64" xfId="1" applyFont="1" applyFill="1" applyBorder="1" applyAlignment="1">
      <alignment horizontal="left" vertical="center"/>
    </xf>
    <xf numFmtId="0" fontId="38" fillId="0" borderId="61" xfId="1" applyFont="1" applyBorder="1" applyAlignment="1">
      <alignment horizontal="left" vertical="center"/>
    </xf>
    <xf numFmtId="0" fontId="39" fillId="3" borderId="60" xfId="1" applyFont="1" applyFill="1" applyBorder="1" applyAlignment="1">
      <alignment horizontal="left" vertical="center"/>
    </xf>
    <xf numFmtId="0" fontId="38" fillId="0" borderId="53" xfId="1" applyFont="1" applyBorder="1" applyAlignment="1">
      <alignment horizontal="left" vertical="center"/>
    </xf>
    <xf numFmtId="0" fontId="39" fillId="3" borderId="42" xfId="1" applyFont="1" applyFill="1" applyBorder="1" applyAlignment="1">
      <alignment horizontal="left" vertical="center"/>
    </xf>
    <xf numFmtId="0" fontId="33" fillId="0" borderId="11" xfId="1" applyFont="1" applyBorder="1" applyAlignment="1">
      <alignment vertical="center"/>
    </xf>
    <xf numFmtId="0" fontId="33" fillId="0" borderId="58" xfId="1" applyFont="1" applyBorder="1" applyAlignment="1">
      <alignment vertical="center"/>
    </xf>
    <xf numFmtId="0" fontId="38" fillId="0" borderId="58" xfId="1" applyFont="1" applyBorder="1" applyAlignment="1">
      <alignment horizontal="left" vertical="center"/>
    </xf>
    <xf numFmtId="0" fontId="39" fillId="3" borderId="50" xfId="1" applyFont="1" applyFill="1" applyBorder="1" applyAlignment="1">
      <alignment horizontal="left" vertical="center"/>
    </xf>
    <xf numFmtId="14" fontId="38" fillId="0" borderId="53" xfId="1" applyNumberFormat="1" applyFont="1" applyBorder="1" applyAlignment="1">
      <alignment horizontal="left" vertical="center"/>
    </xf>
    <xf numFmtId="0" fontId="38" fillId="0" borderId="99" xfId="1" applyFont="1" applyBorder="1" applyAlignment="1">
      <alignment horizontal="left" vertical="center"/>
    </xf>
    <xf numFmtId="0" fontId="39" fillId="3" borderId="7" xfId="1" applyFont="1" applyFill="1" applyBorder="1" applyAlignment="1">
      <alignment horizontal="left" vertical="center"/>
    </xf>
    <xf numFmtId="0" fontId="38" fillId="0" borderId="46" xfId="1" applyFont="1" applyBorder="1" applyAlignment="1">
      <alignment horizontal="left" vertical="center"/>
    </xf>
    <xf numFmtId="0" fontId="39" fillId="3" borderId="3" xfId="1" applyFont="1" applyFill="1" applyBorder="1" applyAlignment="1">
      <alignment horizontal="left" vertical="center"/>
    </xf>
    <xf numFmtId="0" fontId="33" fillId="0" borderId="44" xfId="1" applyFont="1" applyBorder="1" applyAlignment="1">
      <alignment vertical="center"/>
    </xf>
    <xf numFmtId="0" fontId="44" fillId="4" borderId="43" xfId="1" applyFont="1" applyFill="1" applyBorder="1" applyAlignment="1">
      <alignment horizontal="center"/>
    </xf>
    <xf numFmtId="0" fontId="33" fillId="0" borderId="40" xfId="1" applyFont="1" applyBorder="1" applyAlignment="1">
      <alignment vertical="center"/>
    </xf>
    <xf numFmtId="0" fontId="33" fillId="0" borderId="39" xfId="1" applyFont="1" applyBorder="1" applyAlignment="1">
      <alignment vertical="center"/>
    </xf>
    <xf numFmtId="0" fontId="45" fillId="3" borderId="37" xfId="1" applyFont="1" applyFill="1" applyBorder="1" applyAlignment="1">
      <alignment horizontal="center" vertical="center"/>
    </xf>
    <xf numFmtId="0" fontId="46" fillId="0" borderId="35" xfId="1" applyFont="1" applyBorder="1" applyAlignment="1">
      <alignment horizontal="center" vertical="center"/>
    </xf>
    <xf numFmtId="0" fontId="47" fillId="2" borderId="69" xfId="1" applyFont="1" applyFill="1" applyAlignment="1">
      <alignment horizontal="center" vertical="center"/>
    </xf>
  </cellXfs>
  <cellStyles count="2">
    <cellStyle name="Normal" xfId="0" builtinId="0"/>
    <cellStyle name="Normal 2" xfId="1" xr:uid="{9A38D7C5-6338-4673-8307-51A055E61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542926</xdr:colOff>
      <xdr:row>1</xdr:row>
      <xdr:rowOff>19051</xdr:rowOff>
    </xdr:from>
    <xdr:ext cx="876300" cy="876300"/>
    <xdr:pic>
      <xdr:nvPicPr>
        <xdr:cNvPr id="2" name="Picture 1">
          <a:extLst>
            <a:ext uri="{FF2B5EF4-FFF2-40B4-BE49-F238E27FC236}">
              <a16:creationId xmlns:a16="http://schemas.microsoft.com/office/drawing/2014/main" id="{5C1A4DB9-1B94-457D-96A7-43E458F74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6" y="161926"/>
          <a:ext cx="876300" cy="8763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 title="Bản vẽ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61925" y="1714500"/>
          <a:ext cx="2486025" cy="342900"/>
          <a:chOff x="4241100" y="3632363"/>
          <a:chExt cx="2209800" cy="2952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CxnSpPr/>
        </xdr:nvCxnSpPr>
        <xdr:spPr>
          <a:xfrm>
            <a:off x="4241100" y="3632363"/>
            <a:ext cx="220980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&#7921;%20nghi&#7879;p\_Sharing\Examples\All\2.%20group03_test_plan_ver2.0.xlsx" TargetMode="External"/><Relationship Id="rId1" Type="http://schemas.openxmlformats.org/officeDocument/2006/relationships/externalLinkPath" Target="file:///F:\s&#7921;%20nghi&#7879;p\_Sharing\Examples\All\2.%20group03_test_plan_ver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up 03"/>
      <sheetName val="Test Policy"/>
      <sheetName val="Test Management"/>
      <sheetName val="Test Strategy"/>
      <sheetName val="Master Schedule"/>
      <sheetName val="Detail Schedule"/>
      <sheetName val="Append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8799-DA30-4438-8A84-6E03EDE1410C}">
  <dimension ref="A1:Z999"/>
  <sheetViews>
    <sheetView showGridLines="0" tabSelected="1" workbookViewId="0">
      <selection activeCell="E9" sqref="E9"/>
    </sheetView>
  </sheetViews>
  <sheetFormatPr defaultColWidth="14.33203125" defaultRowHeight="15" customHeight="1"/>
  <cols>
    <col min="1" max="1" width="7.83203125" style="251" customWidth="1"/>
    <col min="2" max="2" width="35" style="251" customWidth="1"/>
    <col min="3" max="3" width="12.1640625" style="251" customWidth="1"/>
    <col min="4" max="4" width="32.33203125" style="251" customWidth="1"/>
    <col min="5" max="5" width="10.33203125" style="251" customWidth="1"/>
    <col min="6" max="6" width="27.33203125" style="251" customWidth="1"/>
    <col min="7" max="7" width="40" style="251" customWidth="1"/>
    <col min="8" max="8" width="12" style="251" customWidth="1"/>
    <col min="9" max="26" width="8" style="251" customWidth="1"/>
    <col min="27" max="16384" width="14.33203125" style="251"/>
  </cols>
  <sheetData>
    <row r="1" spans="1:26" ht="13.5" customHeight="1" thickBot="1">
      <c r="A1" s="252"/>
      <c r="B1" s="253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spans="1:26" ht="72" customHeight="1" thickBot="1">
      <c r="A2" s="326"/>
      <c r="B2" s="325"/>
      <c r="C2" s="324" t="s">
        <v>30</v>
      </c>
      <c r="D2" s="323"/>
      <c r="E2" s="323"/>
      <c r="F2" s="323"/>
      <c r="G2" s="322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ht="13.5" customHeight="1" thickBot="1">
      <c r="A3" s="252"/>
      <c r="B3" s="321"/>
      <c r="C3" s="273"/>
      <c r="D3" s="273"/>
      <c r="E3" s="273"/>
      <c r="F3" s="273"/>
      <c r="G3" s="320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spans="1:26" ht="14.25" customHeight="1">
      <c r="A4" s="252"/>
      <c r="B4" s="319" t="s">
        <v>34</v>
      </c>
      <c r="C4" s="318"/>
      <c r="D4" s="269"/>
      <c r="E4" s="268"/>
      <c r="F4" s="317" t="s">
        <v>39</v>
      </c>
      <c r="G4" s="309" t="s">
        <v>164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spans="1:26" ht="14.25" customHeight="1">
      <c r="A5" s="252"/>
      <c r="B5" s="314" t="s">
        <v>43</v>
      </c>
      <c r="C5" s="316"/>
      <c r="D5" s="257"/>
      <c r="E5" s="256"/>
      <c r="F5" s="310" t="s">
        <v>46</v>
      </c>
      <c r="G5" s="315" t="s">
        <v>148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spans="1:26" ht="14.25" customHeight="1">
      <c r="A6" s="252"/>
      <c r="B6" s="314" t="s">
        <v>49</v>
      </c>
      <c r="C6" s="313" t="s">
        <v>171</v>
      </c>
      <c r="D6" s="312"/>
      <c r="E6" s="311"/>
      <c r="F6" s="310" t="s">
        <v>54</v>
      </c>
      <c r="G6" s="309" t="s">
        <v>170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spans="1:26" ht="14.25" customHeight="1" thickBot="1">
      <c r="A7" s="252"/>
      <c r="B7" s="308" t="s">
        <v>56</v>
      </c>
      <c r="C7" s="307" t="s">
        <v>57</v>
      </c>
      <c r="D7" s="278"/>
      <c r="E7" s="277"/>
      <c r="F7" s="306" t="s">
        <v>59</v>
      </c>
      <c r="G7" s="305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spans="1:26" ht="12.75" customHeight="1">
      <c r="A8" s="252"/>
      <c r="B8" s="253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spans="1:26" ht="14.25" customHeight="1" thickBot="1">
      <c r="A9" s="252"/>
      <c r="B9" s="274" t="s">
        <v>61</v>
      </c>
      <c r="C9" s="273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spans="1:26" ht="18" customHeight="1">
      <c r="A10" s="265"/>
      <c r="B10" s="304" t="s">
        <v>64</v>
      </c>
      <c r="C10" s="267" t="s">
        <v>56</v>
      </c>
      <c r="D10" s="267" t="s">
        <v>65</v>
      </c>
      <c r="E10" s="267" t="s">
        <v>66</v>
      </c>
      <c r="F10" s="303" t="s">
        <v>67</v>
      </c>
      <c r="G10" s="302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spans="1:26" ht="12.75" customHeight="1">
      <c r="A11" s="259"/>
      <c r="B11" s="301"/>
      <c r="C11" s="300"/>
      <c r="D11" s="299"/>
      <c r="E11" s="298"/>
      <c r="F11" s="297"/>
      <c r="G11" s="296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</row>
    <row r="12" spans="1:26" ht="13.5" customHeight="1" thickBot="1">
      <c r="A12" s="259"/>
      <c r="B12" s="295"/>
      <c r="C12" s="294"/>
      <c r="D12" s="293"/>
      <c r="E12" s="292"/>
      <c r="F12" s="291"/>
      <c r="G12" s="290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2.75" customHeight="1">
      <c r="A13" s="252"/>
      <c r="B13" s="289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spans="1:26" ht="14.25" customHeight="1" thickBot="1">
      <c r="A14" s="252"/>
      <c r="B14" s="274" t="s">
        <v>75</v>
      </c>
      <c r="C14" s="273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spans="1:26" ht="17.25" customHeight="1">
      <c r="A15" s="252"/>
      <c r="B15" s="288" t="s">
        <v>76</v>
      </c>
      <c r="C15" s="287" t="s">
        <v>8</v>
      </c>
      <c r="D15" s="269"/>
      <c r="E15" s="269"/>
      <c r="F15" s="268"/>
      <c r="G15" s="286" t="s">
        <v>10</v>
      </c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spans="1:26" ht="15.75" customHeight="1">
      <c r="A16" s="252"/>
      <c r="B16" s="285" t="s">
        <v>77</v>
      </c>
      <c r="C16" s="284" t="s">
        <v>78</v>
      </c>
      <c r="D16" s="257"/>
      <c r="E16" s="257"/>
      <c r="F16" s="256"/>
      <c r="G16" s="254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spans="1:26" ht="57" customHeight="1">
      <c r="A17" s="252"/>
      <c r="B17" s="283" t="s">
        <v>169</v>
      </c>
      <c r="C17" s="281" t="s">
        <v>79</v>
      </c>
      <c r="D17" s="257"/>
      <c r="E17" s="257"/>
      <c r="F17" s="256"/>
      <c r="G17" s="254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spans="1:26" ht="79.5" customHeight="1">
      <c r="A18" s="252"/>
      <c r="B18" s="282" t="s">
        <v>1</v>
      </c>
      <c r="C18" s="281" t="s">
        <v>81</v>
      </c>
      <c r="D18" s="257"/>
      <c r="E18" s="257"/>
      <c r="F18" s="256"/>
      <c r="G18" s="254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spans="1:26" ht="27.75" customHeight="1">
      <c r="A19" s="252"/>
      <c r="B19" s="282" t="s">
        <v>83</v>
      </c>
      <c r="C19" s="281" t="s">
        <v>84</v>
      </c>
      <c r="D19" s="257"/>
      <c r="E19" s="257"/>
      <c r="F19" s="256"/>
      <c r="G19" s="254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spans="1:26" ht="17.25" customHeight="1">
      <c r="A20" s="252"/>
      <c r="B20" s="282" t="s">
        <v>86</v>
      </c>
      <c r="C20" s="281" t="s">
        <v>87</v>
      </c>
      <c r="D20" s="257"/>
      <c r="E20" s="257"/>
      <c r="F20" s="256"/>
      <c r="G20" s="254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spans="1:26" ht="43.5" customHeight="1" thickBot="1">
      <c r="A21" s="252"/>
      <c r="B21" s="280" t="s">
        <v>88</v>
      </c>
      <c r="C21" s="279" t="s">
        <v>89</v>
      </c>
      <c r="D21" s="278"/>
      <c r="E21" s="278"/>
      <c r="F21" s="277"/>
      <c r="G21" s="276" t="s">
        <v>90</v>
      </c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spans="1:26" ht="12.75" customHeight="1">
      <c r="A22" s="252"/>
      <c r="B22" s="253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spans="1:26" ht="14.25" customHeight="1" thickBot="1">
      <c r="A23" s="275"/>
      <c r="B23" s="274" t="s">
        <v>91</v>
      </c>
      <c r="C23" s="273"/>
      <c r="D23" s="271"/>
      <c r="E23" s="271"/>
      <c r="F23" s="271"/>
      <c r="G23" s="271"/>
      <c r="H23" s="272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 spans="1:26" ht="18" customHeight="1">
      <c r="A24" s="265"/>
      <c r="B24" s="270" t="s">
        <v>95</v>
      </c>
      <c r="C24" s="269"/>
      <c r="D24" s="269"/>
      <c r="E24" s="268"/>
      <c r="F24" s="267" t="s">
        <v>56</v>
      </c>
      <c r="G24" s="266" t="s">
        <v>10</v>
      </c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spans="1:26" ht="12.75" customHeight="1">
      <c r="A25" s="259"/>
      <c r="B25" s="264" t="s">
        <v>168</v>
      </c>
      <c r="C25" s="263"/>
      <c r="D25" s="263"/>
      <c r="E25" s="262"/>
      <c r="F25" s="261">
        <v>1</v>
      </c>
      <c r="G25" s="260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</row>
    <row r="26" spans="1:26" ht="12.75" customHeight="1">
      <c r="A26" s="252"/>
      <c r="B26" s="258" t="s">
        <v>167</v>
      </c>
      <c r="C26" s="257"/>
      <c r="D26" s="257"/>
      <c r="E26" s="256"/>
      <c r="F26" s="255">
        <v>43467</v>
      </c>
      <c r="G26" s="254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spans="1:26" ht="12.75" customHeight="1">
      <c r="A27" s="252"/>
      <c r="B27" s="253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spans="1:26" ht="12.75" customHeight="1">
      <c r="A28" s="252"/>
      <c r="B28" s="253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spans="1:26" ht="12.75" customHeight="1">
      <c r="A29" s="252"/>
      <c r="B29" s="253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spans="1:26" ht="12.75" customHeight="1">
      <c r="A30" s="252"/>
      <c r="B30" s="253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spans="1:26" ht="12.75" customHeight="1">
      <c r="A31" s="252"/>
      <c r="B31" s="253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spans="1:26" ht="12.75" customHeight="1">
      <c r="A32" s="252"/>
      <c r="B32" s="253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spans="1:26" ht="12.75" customHeight="1">
      <c r="A33" s="252"/>
      <c r="B33" s="253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spans="1:26" ht="12.75" customHeight="1">
      <c r="A34" s="252"/>
      <c r="B34" s="253"/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spans="1:26" ht="12.75" customHeight="1">
      <c r="A35" s="252"/>
      <c r="B35" s="253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spans="1:26" ht="12.75" customHeight="1">
      <c r="A36" s="252"/>
      <c r="B36" s="253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spans="1:26" ht="12.75" customHeight="1">
      <c r="A37" s="252"/>
      <c r="B37" s="253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spans="1:26" ht="12.75" customHeight="1">
      <c r="A38" s="252"/>
      <c r="B38" s="253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spans="1:26" ht="12.75" customHeight="1">
      <c r="A39" s="252"/>
      <c r="B39" s="253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spans="1:26" ht="12.75" customHeight="1">
      <c r="A40" s="252"/>
      <c r="B40" s="253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spans="1:26" ht="12.75" customHeight="1">
      <c r="A41" s="252"/>
      <c r="B41" s="253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spans="1:26" ht="12.75" customHeight="1">
      <c r="A42" s="252"/>
      <c r="B42" s="253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spans="1:26" ht="12.75" customHeight="1">
      <c r="A43" s="252"/>
      <c r="B43" s="253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spans="1:26" ht="12.75" customHeight="1">
      <c r="A44" s="252"/>
      <c r="B44" s="253"/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spans="1:26" ht="12.75" customHeight="1">
      <c r="A45" s="252"/>
      <c r="B45" s="253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spans="1:26" ht="12.75" customHeight="1">
      <c r="A46" s="252"/>
      <c r="B46" s="253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spans="1:26" ht="12.75" customHeight="1">
      <c r="A47" s="252"/>
      <c r="B47" s="253"/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spans="1:26" ht="12.75" customHeight="1">
      <c r="A48" s="252"/>
      <c r="B48" s="253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spans="1:26" ht="12.75" customHeight="1">
      <c r="A49" s="252"/>
      <c r="B49" s="253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spans="1:26" ht="12.75" customHeight="1">
      <c r="A50" s="252"/>
      <c r="B50" s="253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spans="1:26" ht="12.75" customHeight="1">
      <c r="A51" s="252"/>
      <c r="B51" s="253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spans="1:26" ht="12.75" customHeight="1">
      <c r="A52" s="252"/>
      <c r="B52" s="253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spans="1:26" ht="12.75" customHeight="1">
      <c r="A53" s="252"/>
      <c r="B53" s="253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spans="1:26" ht="12.75" customHeight="1">
      <c r="A54" s="252"/>
      <c r="B54" s="253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spans="1:26" ht="12.75" customHeight="1">
      <c r="A55" s="252"/>
      <c r="B55" s="253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spans="1:26" ht="12.75" customHeight="1">
      <c r="A56" s="252"/>
      <c r="B56" s="253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spans="1:26" ht="12.75" customHeight="1">
      <c r="A57" s="252"/>
      <c r="B57" s="253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spans="1:26" ht="12.75" customHeight="1">
      <c r="A58" s="252"/>
      <c r="B58" s="253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spans="1:26" ht="12.75" customHeight="1">
      <c r="A59" s="252"/>
      <c r="B59" s="253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spans="1:26" ht="12.75" customHeight="1">
      <c r="A60" s="252"/>
      <c r="B60" s="253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spans="1:26" ht="12.75" customHeight="1">
      <c r="A61" s="252"/>
      <c r="B61" s="253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spans="1:26" ht="12.75" customHeight="1">
      <c r="A62" s="252"/>
      <c r="B62" s="253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spans="1:26" ht="12.75" customHeight="1">
      <c r="A63" s="252"/>
      <c r="B63" s="253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spans="1:26" ht="12.75" customHeight="1">
      <c r="A64" s="252"/>
      <c r="B64" s="253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spans="1:26" ht="12.75" customHeight="1">
      <c r="A65" s="252"/>
      <c r="B65" s="253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spans="1:26" ht="12.75" customHeight="1">
      <c r="A66" s="252"/>
      <c r="B66" s="253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spans="1:26" ht="12.75" customHeight="1">
      <c r="A67" s="252"/>
      <c r="B67" s="253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spans="1:26" ht="12.75" customHeight="1">
      <c r="A68" s="252"/>
      <c r="B68" s="253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1:26" ht="12.75" customHeight="1">
      <c r="A69" s="252"/>
      <c r="B69" s="253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1:26" ht="12.75" customHeight="1">
      <c r="A70" s="252"/>
      <c r="B70" s="253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1:26" ht="12.75" customHeight="1">
      <c r="A71" s="252"/>
      <c r="B71" s="253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1:26" ht="12.75" customHeight="1">
      <c r="A72" s="252"/>
      <c r="B72" s="253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1:26" ht="12.75" customHeight="1">
      <c r="A73" s="252"/>
      <c r="B73" s="253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1:26" ht="12.75" customHeight="1">
      <c r="A74" s="252"/>
      <c r="B74" s="253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1:26" ht="12.75" customHeight="1">
      <c r="A75" s="252"/>
      <c r="B75" s="253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1:26" ht="12.75" customHeight="1">
      <c r="A76" s="252"/>
      <c r="B76" s="253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1:26" ht="12.75" customHeight="1">
      <c r="A77" s="252"/>
      <c r="B77" s="253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1:26" ht="12.75" customHeight="1">
      <c r="A78" s="252"/>
      <c r="B78" s="253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1:26" ht="12.75" customHeight="1">
      <c r="A79" s="252"/>
      <c r="B79" s="253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1:26" ht="12.75" customHeight="1">
      <c r="A80" s="252"/>
      <c r="B80" s="253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1:26" ht="12.75" customHeight="1">
      <c r="A81" s="252"/>
      <c r="B81" s="253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1:26" ht="12.75" customHeight="1">
      <c r="A82" s="252"/>
      <c r="B82" s="253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1:26" ht="12.75" customHeight="1">
      <c r="A83" s="252"/>
      <c r="B83" s="253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1:26" ht="12.75" customHeight="1">
      <c r="A84" s="252"/>
      <c r="B84" s="253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1:26" ht="12.75" customHeight="1">
      <c r="A85" s="252"/>
      <c r="B85" s="253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1:26" ht="12.75" customHeight="1">
      <c r="A86" s="252"/>
      <c r="B86" s="253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1:26" ht="12.75" customHeight="1">
      <c r="A87" s="252"/>
      <c r="B87" s="253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1:26" ht="12.75" customHeight="1">
      <c r="A88" s="252"/>
      <c r="B88" s="253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1:26" ht="12.75" customHeight="1">
      <c r="A89" s="252"/>
      <c r="B89" s="253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spans="1:26" ht="12.75" customHeight="1">
      <c r="A90" s="252"/>
      <c r="B90" s="253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spans="1:26" ht="12.75" customHeight="1">
      <c r="A91" s="252"/>
      <c r="B91" s="253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spans="1:26" ht="12.75" customHeight="1">
      <c r="A92" s="252"/>
      <c r="B92" s="253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spans="1:26" ht="12.75" customHeight="1">
      <c r="A93" s="252"/>
      <c r="B93" s="253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spans="1:26" ht="12.75" customHeight="1">
      <c r="A94" s="252"/>
      <c r="B94" s="253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spans="1:26" ht="12.75" customHeight="1">
      <c r="A95" s="252"/>
      <c r="B95" s="253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spans="1:26" ht="12.75" customHeight="1">
      <c r="A96" s="252"/>
      <c r="B96" s="253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spans="1:26" ht="12.75" customHeight="1">
      <c r="A97" s="252"/>
      <c r="B97" s="253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spans="1:26" ht="12.75" customHeight="1">
      <c r="A98" s="252"/>
      <c r="B98" s="253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spans="1:26" ht="12.75" customHeight="1">
      <c r="A99" s="252"/>
      <c r="B99" s="253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spans="1:26" ht="12.75" customHeight="1">
      <c r="A100" s="252"/>
      <c r="B100" s="253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spans="1:26" ht="12.75" customHeight="1">
      <c r="A101" s="252"/>
      <c r="B101" s="253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spans="1:26" ht="12.75" customHeight="1">
      <c r="A102" s="252"/>
      <c r="B102" s="253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spans="1:26" ht="12.75" customHeight="1">
      <c r="A103" s="252"/>
      <c r="B103" s="253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spans="1:26" ht="12.75" customHeight="1">
      <c r="A104" s="252"/>
      <c r="B104" s="253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spans="1:26" ht="12.75" customHeight="1">
      <c r="A105" s="252"/>
      <c r="B105" s="253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spans="1:26" ht="12.75" customHeight="1">
      <c r="A106" s="252"/>
      <c r="B106" s="253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spans="1:26" ht="12.75" customHeight="1">
      <c r="A107" s="252"/>
      <c r="B107" s="253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spans="1:26" ht="12.75" customHeight="1">
      <c r="A108" s="252"/>
      <c r="B108" s="253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spans="1:26" ht="12.75" customHeight="1">
      <c r="A109" s="252"/>
      <c r="B109" s="253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spans="1:26" ht="12.75" customHeight="1">
      <c r="A110" s="252"/>
      <c r="B110" s="253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spans="1:26" ht="12.75" customHeight="1">
      <c r="A111" s="252"/>
      <c r="B111" s="253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spans="1:26" ht="12.75" customHeight="1">
      <c r="A112" s="252"/>
      <c r="B112" s="253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spans="1:26" ht="12.75" customHeight="1">
      <c r="A113" s="252"/>
      <c r="B113" s="253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spans="1:26" ht="12.75" customHeight="1">
      <c r="A114" s="252"/>
      <c r="B114" s="253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spans="1:26" ht="12.75" customHeight="1">
      <c r="A115" s="252"/>
      <c r="B115" s="253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spans="1:26" ht="12.75" customHeight="1">
      <c r="A116" s="252"/>
      <c r="B116" s="253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spans="1:26" ht="12.75" customHeight="1">
      <c r="A117" s="252"/>
      <c r="B117" s="253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spans="1:26" ht="12.75" customHeight="1">
      <c r="A118" s="252"/>
      <c r="B118" s="253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spans="1:26" ht="12.75" customHeight="1">
      <c r="A119" s="252"/>
      <c r="B119" s="253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spans="1:26" ht="12.75" customHeight="1">
      <c r="A120" s="252"/>
      <c r="B120" s="253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spans="1:26" ht="12.75" customHeight="1">
      <c r="A121" s="252"/>
      <c r="B121" s="253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spans="1:26" ht="12.75" customHeight="1">
      <c r="A122" s="252"/>
      <c r="B122" s="253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spans="1:26" ht="12.75" customHeight="1">
      <c r="A123" s="252"/>
      <c r="B123" s="253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spans="1:26" ht="12.75" customHeight="1">
      <c r="A124" s="252"/>
      <c r="B124" s="253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spans="1:26" ht="12.75" customHeight="1">
      <c r="A125" s="252"/>
      <c r="B125" s="253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spans="1:26" ht="12.75" customHeight="1">
      <c r="A126" s="252"/>
      <c r="B126" s="253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spans="1:26" ht="12.75" customHeight="1">
      <c r="A127" s="252"/>
      <c r="B127" s="253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spans="1:26" ht="12.75" customHeight="1">
      <c r="A128" s="252"/>
      <c r="B128" s="253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spans="1:26" ht="12.75" customHeight="1">
      <c r="A129" s="252"/>
      <c r="B129" s="253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spans="1:26" ht="12.75" customHeight="1">
      <c r="A130" s="252"/>
      <c r="B130" s="253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spans="1:26" ht="12.75" customHeight="1">
      <c r="A131" s="252"/>
      <c r="B131" s="253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spans="1:26" ht="12.75" customHeight="1">
      <c r="A132" s="252"/>
      <c r="B132" s="253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spans="1:26" ht="12.75" customHeight="1">
      <c r="A133" s="252"/>
      <c r="B133" s="253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spans="1:26" ht="12.75" customHeight="1">
      <c r="A134" s="252"/>
      <c r="B134" s="253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spans="1:26" ht="12.75" customHeight="1">
      <c r="A135" s="252"/>
      <c r="B135" s="253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spans="1:26" ht="12.75" customHeight="1">
      <c r="A136" s="252"/>
      <c r="B136" s="253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spans="1:26" ht="12.75" customHeight="1">
      <c r="A137" s="252"/>
      <c r="B137" s="253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spans="1:26" ht="12.75" customHeight="1">
      <c r="A138" s="252"/>
      <c r="B138" s="253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spans="1:26" ht="12.75" customHeight="1">
      <c r="A139" s="252"/>
      <c r="B139" s="253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spans="1:26" ht="12.75" customHeight="1">
      <c r="A140" s="252"/>
      <c r="B140" s="253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spans="1:26" ht="12.75" customHeight="1">
      <c r="A141" s="252"/>
      <c r="B141" s="253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spans="1:26" ht="12.75" customHeight="1">
      <c r="A142" s="252"/>
      <c r="B142" s="253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spans="1:26" ht="12.75" customHeight="1">
      <c r="A143" s="252"/>
      <c r="B143" s="253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spans="1:26" ht="12.75" customHeight="1">
      <c r="A144" s="252"/>
      <c r="B144" s="253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spans="1:26" ht="12.75" customHeight="1">
      <c r="A145" s="252"/>
      <c r="B145" s="253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spans="1:26" ht="12.75" customHeight="1">
      <c r="A146" s="252"/>
      <c r="B146" s="253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spans="1:26" ht="12.75" customHeight="1">
      <c r="A147" s="252"/>
      <c r="B147" s="253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spans="1:26" ht="12.75" customHeight="1">
      <c r="A148" s="252"/>
      <c r="B148" s="253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spans="1:26" ht="12.75" customHeight="1">
      <c r="A149" s="252"/>
      <c r="B149" s="253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spans="1:26" ht="12.75" customHeight="1">
      <c r="A150" s="252"/>
      <c r="B150" s="253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spans="1:26" ht="12.75" customHeight="1">
      <c r="A151" s="252"/>
      <c r="B151" s="253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spans="1:26" ht="12.75" customHeight="1">
      <c r="A152" s="252"/>
      <c r="B152" s="253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spans="1:26" ht="12.75" customHeight="1">
      <c r="A153" s="252"/>
      <c r="B153" s="253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spans="1:26" ht="12.75" customHeight="1">
      <c r="A154" s="252"/>
      <c r="B154" s="253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spans="1:26" ht="12.75" customHeight="1">
      <c r="A155" s="252"/>
      <c r="B155" s="253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spans="1:26" ht="12.75" customHeight="1">
      <c r="A156" s="252"/>
      <c r="B156" s="253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spans="1:26" ht="12.75" customHeight="1">
      <c r="A157" s="252"/>
      <c r="B157" s="253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spans="1:26" ht="12.75" customHeight="1">
      <c r="A158" s="252"/>
      <c r="B158" s="253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spans="1:26" ht="12.75" customHeight="1">
      <c r="A159" s="252"/>
      <c r="B159" s="253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spans="1:26" ht="12.75" customHeight="1">
      <c r="A160" s="252"/>
      <c r="B160" s="253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spans="1:26" ht="12.75" customHeight="1">
      <c r="A161" s="252"/>
      <c r="B161" s="253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spans="1:26" ht="12.75" customHeight="1">
      <c r="A162" s="252"/>
      <c r="B162" s="253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spans="1:26" ht="12.75" customHeight="1">
      <c r="A163" s="252"/>
      <c r="B163" s="253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spans="1:26" ht="12.75" customHeight="1">
      <c r="A164" s="252"/>
      <c r="B164" s="253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spans="1:26" ht="12.75" customHeight="1">
      <c r="A165" s="252"/>
      <c r="B165" s="253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spans="1:26" ht="12.75" customHeight="1">
      <c r="A166" s="252"/>
      <c r="B166" s="253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spans="1:26" ht="12.75" customHeight="1">
      <c r="A167" s="252"/>
      <c r="B167" s="253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spans="1:26" ht="12.75" customHeight="1">
      <c r="A168" s="252"/>
      <c r="B168" s="253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spans="1:26" ht="12.75" customHeight="1">
      <c r="A169" s="252"/>
      <c r="B169" s="253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spans="1:26" ht="12.75" customHeight="1">
      <c r="A170" s="252"/>
      <c r="B170" s="253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spans="1:26" ht="12.75" customHeight="1">
      <c r="A171" s="252"/>
      <c r="B171" s="253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spans="1:26" ht="12.75" customHeight="1">
      <c r="A172" s="252"/>
      <c r="B172" s="253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spans="1:26" ht="12.75" customHeight="1">
      <c r="A173" s="252"/>
      <c r="B173" s="253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spans="1:26" ht="12.75" customHeight="1">
      <c r="A174" s="252"/>
      <c r="B174" s="253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spans="1:26" ht="12.75" customHeight="1">
      <c r="A175" s="252"/>
      <c r="B175" s="253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spans="1:26" ht="12.75" customHeight="1">
      <c r="A176" s="252"/>
      <c r="B176" s="253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spans="1:26" ht="12.75" customHeight="1">
      <c r="A177" s="252"/>
      <c r="B177" s="253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spans="1:26" ht="12.75" customHeight="1">
      <c r="A178" s="252"/>
      <c r="B178" s="253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spans="1:26" ht="12.75" customHeight="1">
      <c r="A179" s="252"/>
      <c r="B179" s="253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spans="1:26" ht="12.75" customHeight="1">
      <c r="A180" s="252"/>
      <c r="B180" s="253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spans="1:26" ht="12.75" customHeight="1">
      <c r="A181" s="252"/>
      <c r="B181" s="253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spans="1:26" ht="12.75" customHeight="1">
      <c r="A182" s="252"/>
      <c r="B182" s="253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spans="1:26" ht="12.75" customHeight="1">
      <c r="A183" s="252"/>
      <c r="B183" s="253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spans="1:26" ht="12.75" customHeight="1">
      <c r="A184" s="252"/>
      <c r="B184" s="253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spans="1:26" ht="12.75" customHeight="1">
      <c r="A185" s="252"/>
      <c r="B185" s="253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spans="1:26" ht="12.75" customHeight="1">
      <c r="A186" s="252"/>
      <c r="B186" s="253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spans="1:26" ht="12.75" customHeight="1">
      <c r="A187" s="252"/>
      <c r="B187" s="253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spans="1:26" ht="12.75" customHeight="1">
      <c r="A188" s="252"/>
      <c r="B188" s="253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spans="1:26" ht="12.75" customHeight="1">
      <c r="A189" s="252"/>
      <c r="B189" s="253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spans="1:26" ht="12.75" customHeight="1">
      <c r="A190" s="252"/>
      <c r="B190" s="253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spans="1:26" ht="12.75" customHeight="1">
      <c r="A191" s="252"/>
      <c r="B191" s="253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spans="1:26" ht="12.75" customHeight="1">
      <c r="A192" s="252"/>
      <c r="B192" s="253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spans="1:26" ht="12.75" customHeight="1">
      <c r="A193" s="252"/>
      <c r="B193" s="253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spans="1:26" ht="12.75" customHeight="1">
      <c r="A194" s="252"/>
      <c r="B194" s="253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spans="1:26" ht="12.75" customHeight="1">
      <c r="A195" s="252"/>
      <c r="B195" s="253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spans="1:26" ht="12.75" customHeight="1">
      <c r="A196" s="252"/>
      <c r="B196" s="253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spans="1:26" ht="12.75" customHeight="1">
      <c r="A197" s="252"/>
      <c r="B197" s="253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spans="1:26" ht="12.75" customHeight="1">
      <c r="A198" s="252"/>
      <c r="B198" s="253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spans="1:26" ht="12.75" customHeight="1">
      <c r="A199" s="252"/>
      <c r="B199" s="253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spans="1:26" ht="12.75" customHeight="1">
      <c r="A200" s="252"/>
      <c r="B200" s="253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spans="1:26" ht="12.75" customHeight="1">
      <c r="A201" s="252"/>
      <c r="B201" s="253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spans="1:26" ht="12.75" customHeight="1">
      <c r="A202" s="252"/>
      <c r="B202" s="253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spans="1:26" ht="12.75" customHeight="1">
      <c r="A203" s="252"/>
      <c r="B203" s="253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spans="1:26" ht="12.75" customHeight="1">
      <c r="A204" s="252"/>
      <c r="B204" s="253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spans="1:26" ht="12.75" customHeight="1">
      <c r="A205" s="252"/>
      <c r="B205" s="253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spans="1:26" ht="12.75" customHeight="1">
      <c r="A206" s="252"/>
      <c r="B206" s="253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spans="1:26" ht="12.75" customHeight="1">
      <c r="A207" s="252"/>
      <c r="B207" s="253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spans="1:26" ht="12.75" customHeight="1">
      <c r="A208" s="252"/>
      <c r="B208" s="253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spans="1:26" ht="12.75" customHeight="1">
      <c r="A209" s="252"/>
      <c r="B209" s="253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spans="1:26" ht="12.75" customHeight="1">
      <c r="A210" s="252"/>
      <c r="B210" s="253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spans="1:26" ht="12.75" customHeight="1">
      <c r="A211" s="252"/>
      <c r="B211" s="253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spans="1:26" ht="12.75" customHeight="1">
      <c r="A212" s="252"/>
      <c r="B212" s="253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spans="1:26" ht="12.75" customHeight="1">
      <c r="A213" s="252"/>
      <c r="B213" s="253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spans="1:26" ht="12.75" customHeight="1">
      <c r="A214" s="252"/>
      <c r="B214" s="253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spans="1:26" ht="12.75" customHeight="1">
      <c r="A215" s="252"/>
      <c r="B215" s="253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spans="1:26" ht="12.75" customHeight="1">
      <c r="A216" s="252"/>
      <c r="B216" s="253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spans="1:26" ht="12.75" customHeight="1">
      <c r="A217" s="252"/>
      <c r="B217" s="253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spans="1:26" ht="12.75" customHeight="1">
      <c r="A218" s="252"/>
      <c r="B218" s="253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spans="1:26" ht="12.75" customHeight="1">
      <c r="A219" s="252"/>
      <c r="B219" s="253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spans="1:26" ht="12.75" customHeight="1">
      <c r="A220" s="252"/>
      <c r="B220" s="253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spans="1:26" ht="12.75" customHeight="1">
      <c r="A221" s="252"/>
      <c r="B221" s="253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spans="1:26" ht="12.75" customHeight="1">
      <c r="A222" s="252"/>
      <c r="B222" s="253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spans="1:26" ht="12.75" customHeight="1">
      <c r="A223" s="252"/>
      <c r="B223" s="253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spans="1:26" ht="12.75" customHeight="1">
      <c r="A224" s="252"/>
      <c r="B224" s="253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spans="1:26" ht="12.75" customHeight="1">
      <c r="A225" s="252"/>
      <c r="B225" s="253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spans="1:26" ht="12.75" customHeight="1">
      <c r="A226" s="252"/>
      <c r="B226" s="253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spans="1:26" ht="12.75" customHeight="1">
      <c r="A227" s="252"/>
      <c r="B227" s="253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spans="1:26" ht="12.75" customHeight="1">
      <c r="A228" s="252"/>
      <c r="B228" s="253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spans="1:26" ht="12.75" customHeight="1">
      <c r="A229" s="252"/>
      <c r="B229" s="253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spans="1:26" ht="12.75" customHeight="1">
      <c r="A230" s="252"/>
      <c r="B230" s="253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spans="1:26" ht="12.75" customHeight="1">
      <c r="A231" s="252"/>
      <c r="B231" s="253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spans="1:26" ht="12.75" customHeight="1">
      <c r="A232" s="252"/>
      <c r="B232" s="253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spans="1:26" ht="12.75" customHeight="1">
      <c r="A233" s="252"/>
      <c r="B233" s="253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spans="1:26" ht="12.75" customHeight="1">
      <c r="A234" s="252"/>
      <c r="B234" s="253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spans="1:26" ht="12.75" customHeight="1">
      <c r="A235" s="252"/>
      <c r="B235" s="253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spans="1:26" ht="12.75" customHeight="1">
      <c r="A236" s="252"/>
      <c r="B236" s="253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spans="1:26" ht="12.75" customHeight="1">
      <c r="A237" s="252"/>
      <c r="B237" s="253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spans="1:26" ht="12.75" customHeight="1">
      <c r="A238" s="252"/>
      <c r="B238" s="253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spans="1:26" ht="12.75" customHeight="1">
      <c r="A239" s="252"/>
      <c r="B239" s="253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spans="1:26" ht="12.75" customHeight="1">
      <c r="A240" s="252"/>
      <c r="B240" s="253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spans="1:26" ht="12.75" customHeight="1">
      <c r="A241" s="252"/>
      <c r="B241" s="253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spans="1:26" ht="12.75" customHeight="1">
      <c r="A242" s="252"/>
      <c r="B242" s="253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spans="1:26" ht="12.75" customHeight="1">
      <c r="A243" s="252"/>
      <c r="B243" s="253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spans="1:26" ht="12.75" customHeight="1">
      <c r="A244" s="252"/>
      <c r="B244" s="253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spans="1:26" ht="12.75" customHeight="1">
      <c r="A245" s="252"/>
      <c r="B245" s="253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spans="1:26" ht="12.75" customHeight="1">
      <c r="A246" s="252"/>
      <c r="B246" s="253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spans="1:26" ht="12.75" customHeight="1">
      <c r="A247" s="252"/>
      <c r="B247" s="253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spans="1:26" ht="12.75" customHeight="1">
      <c r="A248" s="252"/>
      <c r="B248" s="253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spans="1:26" ht="12.75" customHeight="1">
      <c r="A249" s="252"/>
      <c r="B249" s="253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spans="1:26" ht="12.75" customHeight="1">
      <c r="A250" s="252"/>
      <c r="B250" s="253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spans="1:26" ht="12.75" customHeight="1">
      <c r="A251" s="252"/>
      <c r="B251" s="253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spans="1:26" ht="12.75" customHeight="1">
      <c r="A252" s="252"/>
      <c r="B252" s="253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spans="1:26" ht="12.75" customHeight="1">
      <c r="A253" s="252"/>
      <c r="B253" s="253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spans="1:26" ht="12.75" customHeight="1">
      <c r="A254" s="252"/>
      <c r="B254" s="253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spans="1:26" ht="12.75" customHeight="1">
      <c r="A255" s="252"/>
      <c r="B255" s="253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spans="1:26" ht="12.75" customHeight="1">
      <c r="A256" s="252"/>
      <c r="B256" s="253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spans="1:26" ht="12.75" customHeight="1">
      <c r="A257" s="252"/>
      <c r="B257" s="253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spans="1:26" ht="12.75" customHeight="1">
      <c r="A258" s="252"/>
      <c r="B258" s="253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spans="1:26" ht="12.75" customHeight="1">
      <c r="A259" s="252"/>
      <c r="B259" s="253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spans="1:26" ht="12.75" customHeight="1">
      <c r="A260" s="252"/>
      <c r="B260" s="253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spans="1:26" ht="12.75" customHeight="1">
      <c r="A261" s="252"/>
      <c r="B261" s="253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spans="1:26" ht="12.75" customHeight="1">
      <c r="A262" s="252"/>
      <c r="B262" s="253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spans="1:26" ht="12.75" customHeight="1">
      <c r="A263" s="252"/>
      <c r="B263" s="253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spans="1:26" ht="12.75" customHeight="1">
      <c r="A264" s="252"/>
      <c r="B264" s="253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spans="1:26" ht="12.75" customHeight="1">
      <c r="A265" s="252"/>
      <c r="B265" s="253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spans="1:26" ht="12.75" customHeight="1">
      <c r="A266" s="252"/>
      <c r="B266" s="253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spans="1:26" ht="12.75" customHeight="1">
      <c r="A267" s="252"/>
      <c r="B267" s="253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spans="1:26" ht="12.75" customHeight="1">
      <c r="A268" s="252"/>
      <c r="B268" s="253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spans="1:26" ht="12.75" customHeight="1">
      <c r="A269" s="252"/>
      <c r="B269" s="253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spans="1:26" ht="12.75" customHeight="1">
      <c r="A270" s="252"/>
      <c r="B270" s="253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spans="1:26" ht="12.75" customHeight="1">
      <c r="A271" s="252"/>
      <c r="B271" s="253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spans="1:26" ht="12.75" customHeight="1">
      <c r="A272" s="252"/>
      <c r="B272" s="253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spans="1:26" ht="12.75" customHeight="1">
      <c r="A273" s="252"/>
      <c r="B273" s="253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spans="1:26" ht="12.75" customHeight="1">
      <c r="A274" s="252"/>
      <c r="B274" s="253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spans="1:26" ht="12.75" customHeight="1">
      <c r="A275" s="252"/>
      <c r="B275" s="253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spans="1:26" ht="12.75" customHeight="1">
      <c r="A276" s="252"/>
      <c r="B276" s="253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spans="1:26" ht="12.75" customHeight="1">
      <c r="A277" s="252"/>
      <c r="B277" s="253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spans="1:26" ht="12.75" customHeight="1">
      <c r="A278" s="252"/>
      <c r="B278" s="253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spans="1:26" ht="12.75" customHeight="1">
      <c r="A279" s="252"/>
      <c r="B279" s="253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spans="1:26" ht="12.75" customHeight="1">
      <c r="A280" s="252"/>
      <c r="B280" s="253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spans="1:26" ht="12.75" customHeight="1">
      <c r="A281" s="252"/>
      <c r="B281" s="253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spans="1:26" ht="12.75" customHeight="1">
      <c r="A282" s="252"/>
      <c r="B282" s="253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spans="1:26" ht="12.75" customHeight="1">
      <c r="A283" s="252"/>
      <c r="B283" s="253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spans="1:26" ht="12.75" customHeight="1">
      <c r="A284" s="252"/>
      <c r="B284" s="253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spans="1:26" ht="12.75" customHeight="1">
      <c r="A285" s="252"/>
      <c r="B285" s="253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spans="1:26" ht="12.75" customHeight="1">
      <c r="A286" s="252"/>
      <c r="B286" s="253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spans="1:26" ht="12.75" customHeight="1">
      <c r="A287" s="252"/>
      <c r="B287" s="253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spans="1:26" ht="12.75" customHeight="1">
      <c r="A288" s="252"/>
      <c r="B288" s="253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spans="1:26" ht="12.75" customHeight="1">
      <c r="A289" s="252"/>
      <c r="B289" s="253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spans="1:26" ht="12.75" customHeight="1">
      <c r="A290" s="252"/>
      <c r="B290" s="253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spans="1:26" ht="12.75" customHeight="1">
      <c r="A291" s="252"/>
      <c r="B291" s="253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spans="1:26" ht="12.75" customHeight="1">
      <c r="A292" s="252"/>
      <c r="B292" s="253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spans="1:26" ht="12.75" customHeight="1">
      <c r="A293" s="252"/>
      <c r="B293" s="253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spans="1:26" ht="12.75" customHeight="1">
      <c r="A294" s="252"/>
      <c r="B294" s="253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spans="1:26" ht="12.75" customHeight="1">
      <c r="A295" s="252"/>
      <c r="B295" s="253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spans="1:26" ht="12.75" customHeight="1">
      <c r="A296" s="252"/>
      <c r="B296" s="253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spans="1:26" ht="12.75" customHeight="1">
      <c r="A297" s="252"/>
      <c r="B297" s="253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spans="1:26" ht="12.75" customHeight="1">
      <c r="A298" s="252"/>
      <c r="B298" s="253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spans="1:26" ht="12.75" customHeight="1">
      <c r="A299" s="252"/>
      <c r="B299" s="253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spans="1:26" ht="12.75" customHeight="1">
      <c r="A300" s="252"/>
      <c r="B300" s="253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spans="1:26" ht="12.75" customHeight="1">
      <c r="A301" s="252"/>
      <c r="B301" s="253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spans="1:26" ht="12.75" customHeight="1">
      <c r="A302" s="252"/>
      <c r="B302" s="253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spans="1:26" ht="12.75" customHeight="1">
      <c r="A303" s="252"/>
      <c r="B303" s="253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spans="1:26" ht="12.75" customHeight="1">
      <c r="A304" s="252"/>
      <c r="B304" s="253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spans="1:26" ht="12.75" customHeight="1">
      <c r="A305" s="252"/>
      <c r="B305" s="253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spans="1:26" ht="12.75" customHeight="1">
      <c r="A306" s="252"/>
      <c r="B306" s="253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spans="1:26" ht="12.75" customHeight="1">
      <c r="A307" s="252"/>
      <c r="B307" s="253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spans="1:26" ht="12.75" customHeight="1">
      <c r="A308" s="252"/>
      <c r="B308" s="253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spans="1:26" ht="12.75" customHeight="1">
      <c r="A309" s="252"/>
      <c r="B309" s="253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spans="1:26" ht="12.75" customHeight="1">
      <c r="A310" s="252"/>
      <c r="B310" s="253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spans="1:26" ht="12.75" customHeight="1">
      <c r="A311" s="252"/>
      <c r="B311" s="253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spans="1:26" ht="12.75" customHeight="1">
      <c r="A312" s="252"/>
      <c r="B312" s="253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spans="1:26" ht="12.75" customHeight="1">
      <c r="A313" s="252"/>
      <c r="B313" s="253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spans="1:26" ht="12.75" customHeight="1">
      <c r="A314" s="252"/>
      <c r="B314" s="253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spans="1:26" ht="12.75" customHeight="1">
      <c r="A315" s="252"/>
      <c r="B315" s="253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spans="1:26" ht="12.75" customHeight="1">
      <c r="A316" s="252"/>
      <c r="B316" s="253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spans="1:26" ht="12.75" customHeight="1">
      <c r="A317" s="252"/>
      <c r="B317" s="253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spans="1:26" ht="12.75" customHeight="1">
      <c r="A318" s="252"/>
      <c r="B318" s="253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spans="1:26" ht="12.75" customHeight="1">
      <c r="A319" s="252"/>
      <c r="B319" s="253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spans="1:26" ht="12.75" customHeight="1">
      <c r="A320" s="252"/>
      <c r="B320" s="253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spans="1:26" ht="12.75" customHeight="1">
      <c r="A321" s="252"/>
      <c r="B321" s="253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spans="1:26" ht="12.75" customHeight="1">
      <c r="A322" s="252"/>
      <c r="B322" s="253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spans="1:26" ht="12.75" customHeight="1">
      <c r="A323" s="252"/>
      <c r="B323" s="253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spans="1:26" ht="12.75" customHeight="1">
      <c r="A324" s="252"/>
      <c r="B324" s="253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spans="1:26" ht="12.75" customHeight="1">
      <c r="A325" s="252"/>
      <c r="B325" s="253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spans="1:26" ht="12.75" customHeight="1">
      <c r="A326" s="252"/>
      <c r="B326" s="253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spans="1:26" ht="12.75" customHeight="1">
      <c r="A327" s="252"/>
      <c r="B327" s="253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spans="1:26" ht="12.75" customHeight="1">
      <c r="A328" s="252"/>
      <c r="B328" s="253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spans="1:26" ht="12.75" customHeight="1">
      <c r="A329" s="252"/>
      <c r="B329" s="253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spans="1:26" ht="12.75" customHeight="1">
      <c r="A330" s="252"/>
      <c r="B330" s="253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spans="1:26" ht="12.75" customHeight="1">
      <c r="A331" s="252"/>
      <c r="B331" s="253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spans="1:26" ht="12.75" customHeight="1">
      <c r="A332" s="252"/>
      <c r="B332" s="253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spans="1:26" ht="12.75" customHeight="1">
      <c r="A333" s="252"/>
      <c r="B333" s="253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spans="1:26" ht="12.75" customHeight="1">
      <c r="A334" s="252"/>
      <c r="B334" s="253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spans="1:26" ht="12.75" customHeight="1">
      <c r="A335" s="252"/>
      <c r="B335" s="253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spans="1:26" ht="12.75" customHeight="1">
      <c r="A336" s="252"/>
      <c r="B336" s="253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spans="1:26" ht="12.75" customHeight="1">
      <c r="A337" s="252"/>
      <c r="B337" s="253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spans="1:26" ht="12.75" customHeight="1">
      <c r="A338" s="252"/>
      <c r="B338" s="253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spans="1:26" ht="12.75" customHeight="1">
      <c r="A339" s="252"/>
      <c r="B339" s="253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spans="1:26" ht="12.75" customHeight="1">
      <c r="A340" s="252"/>
      <c r="B340" s="253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spans="1:26" ht="12.75" customHeight="1">
      <c r="A341" s="252"/>
      <c r="B341" s="253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spans="1:26" ht="12.75" customHeight="1">
      <c r="A342" s="252"/>
      <c r="B342" s="253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spans="1:26" ht="12.75" customHeight="1">
      <c r="A343" s="252"/>
      <c r="B343" s="253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spans="1:26" ht="12.75" customHeight="1">
      <c r="A344" s="252"/>
      <c r="B344" s="253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spans="1:26" ht="12.75" customHeight="1">
      <c r="A345" s="252"/>
      <c r="B345" s="253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spans="1:26" ht="12.75" customHeight="1">
      <c r="A346" s="252"/>
      <c r="B346" s="253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spans="1:26" ht="12.75" customHeight="1">
      <c r="A347" s="252"/>
      <c r="B347" s="253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spans="1:26" ht="12.75" customHeight="1">
      <c r="A348" s="252"/>
      <c r="B348" s="253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spans="1:26" ht="12.75" customHeight="1">
      <c r="A349" s="252"/>
      <c r="B349" s="253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spans="1:26" ht="12.75" customHeight="1">
      <c r="A350" s="252"/>
      <c r="B350" s="253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spans="1:26" ht="12.75" customHeight="1">
      <c r="A351" s="252"/>
      <c r="B351" s="253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spans="1:26" ht="12.75" customHeight="1">
      <c r="A352" s="252"/>
      <c r="B352" s="253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spans="1:26" ht="12.75" customHeight="1">
      <c r="A353" s="252"/>
      <c r="B353" s="253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spans="1:26" ht="12.75" customHeight="1">
      <c r="A354" s="252"/>
      <c r="B354" s="253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spans="1:26" ht="12.75" customHeight="1">
      <c r="A355" s="252"/>
      <c r="B355" s="253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spans="1:26" ht="12.75" customHeight="1">
      <c r="A356" s="252"/>
      <c r="B356" s="253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spans="1:26" ht="12.75" customHeight="1">
      <c r="A357" s="252"/>
      <c r="B357" s="253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spans="1:26" ht="12.75" customHeight="1">
      <c r="A358" s="252"/>
      <c r="B358" s="253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spans="1:26" ht="12.75" customHeight="1">
      <c r="A359" s="252"/>
      <c r="B359" s="253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spans="1:26" ht="12.75" customHeight="1">
      <c r="A360" s="252"/>
      <c r="B360" s="253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spans="1:26" ht="12.75" customHeight="1">
      <c r="A361" s="252"/>
      <c r="B361" s="253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spans="1:26" ht="12.75" customHeight="1">
      <c r="A362" s="252"/>
      <c r="B362" s="253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spans="1:26" ht="12.75" customHeight="1">
      <c r="A363" s="252"/>
      <c r="B363" s="253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spans="1:26" ht="12.75" customHeight="1">
      <c r="A364" s="252"/>
      <c r="B364" s="253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spans="1:26" ht="12.75" customHeight="1">
      <c r="A365" s="252"/>
      <c r="B365" s="253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spans="1:26" ht="12.75" customHeight="1">
      <c r="A366" s="252"/>
      <c r="B366" s="253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spans="1:26" ht="12.75" customHeight="1">
      <c r="A367" s="252"/>
      <c r="B367" s="253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spans="1:26" ht="12.75" customHeight="1">
      <c r="A368" s="252"/>
      <c r="B368" s="253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spans="1:26" ht="12.75" customHeight="1">
      <c r="A369" s="252"/>
      <c r="B369" s="253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spans="1:26" ht="12.75" customHeight="1">
      <c r="A370" s="252"/>
      <c r="B370" s="253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spans="1:26" ht="12.75" customHeight="1">
      <c r="A371" s="252"/>
      <c r="B371" s="253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spans="1:26" ht="12.75" customHeight="1">
      <c r="A372" s="252"/>
      <c r="B372" s="253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spans="1:26" ht="12.75" customHeight="1">
      <c r="A373" s="252"/>
      <c r="B373" s="253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spans="1:26" ht="12.75" customHeight="1">
      <c r="A374" s="252"/>
      <c r="B374" s="253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spans="1:26" ht="12.75" customHeight="1">
      <c r="A375" s="252"/>
      <c r="B375" s="253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spans="1:26" ht="12.75" customHeight="1">
      <c r="A376" s="252"/>
      <c r="B376" s="253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spans="1:26" ht="12.75" customHeight="1">
      <c r="A377" s="252"/>
      <c r="B377" s="253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spans="1:26" ht="12.75" customHeight="1">
      <c r="A378" s="252"/>
      <c r="B378" s="253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spans="1:26" ht="12.75" customHeight="1">
      <c r="A379" s="252"/>
      <c r="B379" s="253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spans="1:26" ht="12.75" customHeight="1">
      <c r="A380" s="252"/>
      <c r="B380" s="253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spans="1:26" ht="12.75" customHeight="1">
      <c r="A381" s="252"/>
      <c r="B381" s="253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spans="1:26" ht="12.75" customHeight="1">
      <c r="A382" s="252"/>
      <c r="B382" s="253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spans="1:26" ht="12.75" customHeight="1">
      <c r="A383" s="252"/>
      <c r="B383" s="253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spans="1:26" ht="12.75" customHeight="1">
      <c r="A384" s="252"/>
      <c r="B384" s="253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spans="1:26" ht="12.75" customHeight="1">
      <c r="A385" s="252"/>
      <c r="B385" s="253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spans="1:26" ht="12.75" customHeight="1">
      <c r="A386" s="252"/>
      <c r="B386" s="253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spans="1:26" ht="12.75" customHeight="1">
      <c r="A387" s="252"/>
      <c r="B387" s="253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spans="1:26" ht="12.75" customHeight="1">
      <c r="A388" s="252"/>
      <c r="B388" s="253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spans="1:26" ht="12.75" customHeight="1">
      <c r="A389" s="252"/>
      <c r="B389" s="253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spans="1:26" ht="12.75" customHeight="1">
      <c r="A390" s="252"/>
      <c r="B390" s="253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spans="1:26" ht="12.75" customHeight="1">
      <c r="A391" s="252"/>
      <c r="B391" s="253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spans="1:26" ht="12.75" customHeight="1">
      <c r="A392" s="252"/>
      <c r="B392" s="253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spans="1:26" ht="12.75" customHeight="1">
      <c r="A393" s="252"/>
      <c r="B393" s="253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spans="1:26" ht="12.75" customHeight="1">
      <c r="A394" s="252"/>
      <c r="B394" s="253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spans="1:26" ht="12.75" customHeight="1">
      <c r="A395" s="252"/>
      <c r="B395" s="253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spans="1:26" ht="12.75" customHeight="1">
      <c r="A396" s="252"/>
      <c r="B396" s="253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spans="1:26" ht="12.75" customHeight="1">
      <c r="A397" s="252"/>
      <c r="B397" s="253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spans="1:26" ht="12.75" customHeight="1">
      <c r="A398" s="252"/>
      <c r="B398" s="253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spans="1:26" ht="12.75" customHeight="1">
      <c r="A399" s="252"/>
      <c r="B399" s="253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spans="1:26" ht="12.75" customHeight="1">
      <c r="A400" s="252"/>
      <c r="B400" s="253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spans="1:26" ht="12.75" customHeight="1">
      <c r="A401" s="252"/>
      <c r="B401" s="253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spans="1:26" ht="12.75" customHeight="1">
      <c r="A402" s="252"/>
      <c r="B402" s="253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spans="1:26" ht="12.75" customHeight="1">
      <c r="A403" s="252"/>
      <c r="B403" s="253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spans="1:26" ht="12.75" customHeight="1">
      <c r="A404" s="252"/>
      <c r="B404" s="253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spans="1:26" ht="12.75" customHeight="1">
      <c r="A405" s="252"/>
      <c r="B405" s="253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spans="1:26" ht="12.75" customHeight="1">
      <c r="A406" s="252"/>
      <c r="B406" s="253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spans="1:26" ht="12.75" customHeight="1">
      <c r="A407" s="252"/>
      <c r="B407" s="253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spans="1:26" ht="12.75" customHeight="1">
      <c r="A408" s="252"/>
      <c r="B408" s="253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spans="1:26" ht="12.75" customHeight="1">
      <c r="A409" s="252"/>
      <c r="B409" s="253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spans="1:26" ht="12.75" customHeight="1">
      <c r="A410" s="252"/>
      <c r="B410" s="253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spans="1:26" ht="12.75" customHeight="1">
      <c r="A411" s="252"/>
      <c r="B411" s="253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spans="1:26" ht="12.75" customHeight="1">
      <c r="A412" s="252"/>
      <c r="B412" s="253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spans="1:26" ht="12.75" customHeight="1">
      <c r="A413" s="252"/>
      <c r="B413" s="253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spans="1:26" ht="12.75" customHeight="1">
      <c r="A414" s="252"/>
      <c r="B414" s="253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spans="1:26" ht="12.75" customHeight="1">
      <c r="A415" s="252"/>
      <c r="B415" s="253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spans="1:26" ht="12.75" customHeight="1">
      <c r="A416" s="252"/>
      <c r="B416" s="253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spans="1:26" ht="12.75" customHeight="1">
      <c r="A417" s="252"/>
      <c r="B417" s="253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spans="1:26" ht="12.75" customHeight="1">
      <c r="A418" s="252"/>
      <c r="B418" s="253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spans="1:26" ht="12.75" customHeight="1">
      <c r="A419" s="252"/>
      <c r="B419" s="253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spans="1:26" ht="12.75" customHeight="1">
      <c r="A420" s="252"/>
      <c r="B420" s="253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spans="1:26" ht="12.75" customHeight="1">
      <c r="A421" s="252"/>
      <c r="B421" s="253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spans="1:26" ht="12.75" customHeight="1">
      <c r="A422" s="252"/>
      <c r="B422" s="253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spans="1:26" ht="12.75" customHeight="1">
      <c r="A423" s="252"/>
      <c r="B423" s="253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spans="1:26" ht="12.75" customHeight="1">
      <c r="A424" s="252"/>
      <c r="B424" s="253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spans="1:26" ht="12.75" customHeight="1">
      <c r="A425" s="252"/>
      <c r="B425" s="253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spans="1:26" ht="12.75" customHeight="1">
      <c r="A426" s="252"/>
      <c r="B426" s="253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spans="1:26" ht="12.75" customHeight="1">
      <c r="A427" s="252"/>
      <c r="B427" s="253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spans="1:26" ht="12.75" customHeight="1">
      <c r="A428" s="252"/>
      <c r="B428" s="253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spans="1:26" ht="12.75" customHeight="1">
      <c r="A429" s="252"/>
      <c r="B429" s="253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spans="1:26" ht="12.75" customHeight="1">
      <c r="A430" s="252"/>
      <c r="B430" s="253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spans="1:26" ht="12.75" customHeight="1">
      <c r="A431" s="252"/>
      <c r="B431" s="253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spans="1:26" ht="12.75" customHeight="1">
      <c r="A432" s="252"/>
      <c r="B432" s="253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spans="1:26" ht="12.75" customHeight="1">
      <c r="A433" s="252"/>
      <c r="B433" s="253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spans="1:26" ht="12.75" customHeight="1">
      <c r="A434" s="252"/>
      <c r="B434" s="253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spans="1:26" ht="12.75" customHeight="1">
      <c r="A435" s="252"/>
      <c r="B435" s="253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spans="1:26" ht="12.75" customHeight="1">
      <c r="A436" s="252"/>
      <c r="B436" s="253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spans="1:26" ht="12.75" customHeight="1">
      <c r="A437" s="252"/>
      <c r="B437" s="253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spans="1:26" ht="12.75" customHeight="1">
      <c r="A438" s="252"/>
      <c r="B438" s="253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spans="1:26" ht="12.75" customHeight="1">
      <c r="A439" s="252"/>
      <c r="B439" s="253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spans="1:26" ht="12.75" customHeight="1">
      <c r="A440" s="252"/>
      <c r="B440" s="253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spans="1:26" ht="12.75" customHeight="1">
      <c r="A441" s="252"/>
      <c r="B441" s="253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spans="1:26" ht="12.75" customHeight="1">
      <c r="A442" s="252"/>
      <c r="B442" s="253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spans="1:26" ht="12.75" customHeight="1">
      <c r="A443" s="252"/>
      <c r="B443" s="253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spans="1:26" ht="12.75" customHeight="1">
      <c r="A444" s="252"/>
      <c r="B444" s="253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spans="1:26" ht="12.75" customHeight="1">
      <c r="A445" s="252"/>
      <c r="B445" s="253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spans="1:26" ht="12.75" customHeight="1">
      <c r="A446" s="252"/>
      <c r="B446" s="253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spans="1:26" ht="12.75" customHeight="1">
      <c r="A447" s="252"/>
      <c r="B447" s="253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spans="1:26" ht="12.75" customHeight="1">
      <c r="A448" s="252"/>
      <c r="B448" s="253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spans="1:26" ht="12.75" customHeight="1">
      <c r="A449" s="252"/>
      <c r="B449" s="253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spans="1:26" ht="12.75" customHeight="1">
      <c r="A450" s="252"/>
      <c r="B450" s="253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spans="1:26" ht="12.75" customHeight="1">
      <c r="A451" s="252"/>
      <c r="B451" s="253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spans="1:26" ht="12.75" customHeight="1">
      <c r="A452" s="252"/>
      <c r="B452" s="253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spans="1:26" ht="12.75" customHeight="1">
      <c r="A453" s="252"/>
      <c r="B453" s="253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spans="1:26" ht="12.75" customHeight="1">
      <c r="A454" s="252"/>
      <c r="B454" s="253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spans="1:26" ht="12.75" customHeight="1">
      <c r="A455" s="252"/>
      <c r="B455" s="253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spans="1:26" ht="12.75" customHeight="1">
      <c r="A456" s="252"/>
      <c r="B456" s="253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spans="1:26" ht="12.75" customHeight="1">
      <c r="A457" s="252"/>
      <c r="B457" s="253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spans="1:26" ht="12.75" customHeight="1">
      <c r="A458" s="252"/>
      <c r="B458" s="253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spans="1:26" ht="12.75" customHeight="1">
      <c r="A459" s="252"/>
      <c r="B459" s="253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spans="1:26" ht="12.75" customHeight="1">
      <c r="A460" s="252"/>
      <c r="B460" s="253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spans="1:26" ht="12.75" customHeight="1">
      <c r="A461" s="252"/>
      <c r="B461" s="253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spans="1:26" ht="12.75" customHeight="1">
      <c r="A462" s="252"/>
      <c r="B462" s="253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spans="1:26" ht="12.75" customHeight="1">
      <c r="A463" s="252"/>
      <c r="B463" s="253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spans="1:26" ht="12.75" customHeight="1">
      <c r="A464" s="252"/>
      <c r="B464" s="253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spans="1:26" ht="12.75" customHeight="1">
      <c r="A465" s="252"/>
      <c r="B465" s="253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spans="1:26" ht="12.75" customHeight="1">
      <c r="A466" s="252"/>
      <c r="B466" s="253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spans="1:26" ht="12.75" customHeight="1">
      <c r="A467" s="252"/>
      <c r="B467" s="253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spans="1:26" ht="12.75" customHeight="1">
      <c r="A468" s="252"/>
      <c r="B468" s="253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spans="1:26" ht="12.75" customHeight="1">
      <c r="A469" s="252"/>
      <c r="B469" s="253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spans="1:26" ht="12.75" customHeight="1">
      <c r="A470" s="252"/>
      <c r="B470" s="253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spans="1:26" ht="12.75" customHeight="1">
      <c r="A471" s="252"/>
      <c r="B471" s="253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spans="1:26" ht="12.75" customHeight="1">
      <c r="A472" s="252"/>
      <c r="B472" s="253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spans="1:26" ht="12.75" customHeight="1">
      <c r="A473" s="252"/>
      <c r="B473" s="253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spans="1:26" ht="12.75" customHeight="1">
      <c r="A474" s="252"/>
      <c r="B474" s="253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spans="1:26" ht="12.75" customHeight="1">
      <c r="A475" s="252"/>
      <c r="B475" s="253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spans="1:26" ht="12.75" customHeight="1">
      <c r="A476" s="252"/>
      <c r="B476" s="253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spans="1:26" ht="12.75" customHeight="1">
      <c r="A477" s="252"/>
      <c r="B477" s="253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spans="1:26" ht="12.75" customHeight="1">
      <c r="A478" s="252"/>
      <c r="B478" s="253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spans="1:26" ht="12.75" customHeight="1">
      <c r="A479" s="252"/>
      <c r="B479" s="253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spans="1:26" ht="12.75" customHeight="1">
      <c r="A480" s="252"/>
      <c r="B480" s="253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spans="1:26" ht="12.75" customHeight="1">
      <c r="A481" s="252"/>
      <c r="B481" s="253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spans="1:26" ht="12.75" customHeight="1">
      <c r="A482" s="252"/>
      <c r="B482" s="253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spans="1:26" ht="12.75" customHeight="1">
      <c r="A483" s="252"/>
      <c r="B483" s="253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spans="1:26" ht="12.75" customHeight="1">
      <c r="A484" s="252"/>
      <c r="B484" s="253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spans="1:26" ht="12.75" customHeight="1">
      <c r="A485" s="252"/>
      <c r="B485" s="253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spans="1:26" ht="12.75" customHeight="1">
      <c r="A486" s="252"/>
      <c r="B486" s="253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spans="1:26" ht="12.75" customHeight="1">
      <c r="A487" s="252"/>
      <c r="B487" s="253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spans="1:26" ht="12.75" customHeight="1">
      <c r="A488" s="252"/>
      <c r="B488" s="253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spans="1:26" ht="12.75" customHeight="1">
      <c r="A489" s="252"/>
      <c r="B489" s="253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spans="1:26" ht="12.75" customHeight="1">
      <c r="A490" s="252"/>
      <c r="B490" s="253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spans="1:26" ht="12.75" customHeight="1">
      <c r="A491" s="252"/>
      <c r="B491" s="253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spans="1:26" ht="12.75" customHeight="1">
      <c r="A492" s="252"/>
      <c r="B492" s="253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spans="1:26" ht="12.75" customHeight="1">
      <c r="A493" s="252"/>
      <c r="B493" s="253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spans="1:26" ht="12.75" customHeight="1">
      <c r="A494" s="252"/>
      <c r="B494" s="253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spans="1:26" ht="12.75" customHeight="1">
      <c r="A495" s="252"/>
      <c r="B495" s="253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spans="1:26" ht="12.75" customHeight="1">
      <c r="A496" s="252"/>
      <c r="B496" s="253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spans="1:26" ht="12.75" customHeight="1">
      <c r="A497" s="252"/>
      <c r="B497" s="253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spans="1:26" ht="12.75" customHeight="1">
      <c r="A498" s="252"/>
      <c r="B498" s="253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spans="1:26" ht="12.75" customHeight="1">
      <c r="A499" s="252"/>
      <c r="B499" s="253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spans="1:26" ht="12.75" customHeight="1">
      <c r="A500" s="252"/>
      <c r="B500" s="253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spans="1:26" ht="12.75" customHeight="1">
      <c r="A501" s="252"/>
      <c r="B501" s="253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spans="1:26" ht="12.75" customHeight="1">
      <c r="A502" s="252"/>
      <c r="B502" s="253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spans="1:26" ht="12.75" customHeight="1">
      <c r="A503" s="252"/>
      <c r="B503" s="253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spans="1:26" ht="12.75" customHeight="1">
      <c r="A504" s="252"/>
      <c r="B504" s="253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spans="1:26" ht="12.75" customHeight="1">
      <c r="A505" s="252"/>
      <c r="B505" s="253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spans="1:26" ht="12.75" customHeight="1">
      <c r="A506" s="252"/>
      <c r="B506" s="253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spans="1:26" ht="12.75" customHeight="1">
      <c r="A507" s="252"/>
      <c r="B507" s="253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spans="1:26" ht="12.75" customHeight="1">
      <c r="A508" s="252"/>
      <c r="B508" s="253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spans="1:26" ht="12.75" customHeight="1">
      <c r="A509" s="252"/>
      <c r="B509" s="253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spans="1:26" ht="12.75" customHeight="1">
      <c r="A510" s="252"/>
      <c r="B510" s="253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spans="1:26" ht="12.75" customHeight="1">
      <c r="A511" s="252"/>
      <c r="B511" s="253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spans="1:26" ht="12.75" customHeight="1">
      <c r="A512" s="252"/>
      <c r="B512" s="253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spans="1:26" ht="12.75" customHeight="1">
      <c r="A513" s="252"/>
      <c r="B513" s="253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spans="1:26" ht="12.75" customHeight="1">
      <c r="A514" s="252"/>
      <c r="B514" s="253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spans="1:26" ht="12.75" customHeight="1">
      <c r="A515" s="252"/>
      <c r="B515" s="253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spans="1:26" ht="12.75" customHeight="1">
      <c r="A516" s="252"/>
      <c r="B516" s="253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spans="1:26" ht="12.75" customHeight="1">
      <c r="A517" s="252"/>
      <c r="B517" s="253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spans="1:26" ht="12.75" customHeight="1">
      <c r="A518" s="252"/>
      <c r="B518" s="253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spans="1:26" ht="12.75" customHeight="1">
      <c r="A519" s="252"/>
      <c r="B519" s="253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spans="1:26" ht="12.75" customHeight="1">
      <c r="A520" s="252"/>
      <c r="B520" s="253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spans="1:26" ht="12.75" customHeight="1">
      <c r="A521" s="252"/>
      <c r="B521" s="253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spans="1:26" ht="12.75" customHeight="1">
      <c r="A522" s="252"/>
      <c r="B522" s="253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spans="1:26" ht="12.75" customHeight="1">
      <c r="A523" s="252"/>
      <c r="B523" s="253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spans="1:26" ht="12.75" customHeight="1">
      <c r="A524" s="252"/>
      <c r="B524" s="253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spans="1:26" ht="12.75" customHeight="1">
      <c r="A525" s="252"/>
      <c r="B525" s="253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spans="1:26" ht="12.75" customHeight="1">
      <c r="A526" s="252"/>
      <c r="B526" s="253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spans="1:26" ht="12.75" customHeight="1">
      <c r="A527" s="252"/>
      <c r="B527" s="253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spans="1:26" ht="12.75" customHeight="1">
      <c r="A528" s="252"/>
      <c r="B528" s="253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spans="1:26" ht="12.75" customHeight="1">
      <c r="A529" s="252"/>
      <c r="B529" s="253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spans="1:26" ht="12.75" customHeight="1">
      <c r="A530" s="252"/>
      <c r="B530" s="253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spans="1:26" ht="12.75" customHeight="1">
      <c r="A531" s="252"/>
      <c r="B531" s="253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spans="1:26" ht="12.75" customHeight="1">
      <c r="A532" s="252"/>
      <c r="B532" s="253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spans="1:26" ht="12.75" customHeight="1">
      <c r="A533" s="252"/>
      <c r="B533" s="253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spans="1:26" ht="12.75" customHeight="1">
      <c r="A534" s="252"/>
      <c r="B534" s="253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spans="1:26" ht="12.75" customHeight="1">
      <c r="A535" s="252"/>
      <c r="B535" s="253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spans="1:26" ht="12.75" customHeight="1">
      <c r="A536" s="252"/>
      <c r="B536" s="253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spans="1:26" ht="12.75" customHeight="1">
      <c r="A537" s="252"/>
      <c r="B537" s="253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spans="1:26" ht="12.75" customHeight="1">
      <c r="A538" s="252"/>
      <c r="B538" s="253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spans="1:26" ht="12.75" customHeight="1">
      <c r="A539" s="252"/>
      <c r="B539" s="253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spans="1:26" ht="12.75" customHeight="1">
      <c r="A540" s="252"/>
      <c r="B540" s="253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spans="1:26" ht="12.75" customHeight="1">
      <c r="A541" s="252"/>
      <c r="B541" s="253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spans="1:26" ht="12.75" customHeight="1">
      <c r="A542" s="252"/>
      <c r="B542" s="253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spans="1:26" ht="12.75" customHeight="1">
      <c r="A543" s="252"/>
      <c r="B543" s="253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spans="1:26" ht="12.75" customHeight="1">
      <c r="A544" s="252"/>
      <c r="B544" s="253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spans="1:26" ht="12.75" customHeight="1">
      <c r="A545" s="252"/>
      <c r="B545" s="253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spans="1:26" ht="12.75" customHeight="1">
      <c r="A546" s="252"/>
      <c r="B546" s="253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spans="1:26" ht="12.75" customHeight="1">
      <c r="A547" s="252"/>
      <c r="B547" s="253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spans="1:26" ht="12.75" customHeight="1">
      <c r="A548" s="252"/>
      <c r="B548" s="253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spans="1:26" ht="12.75" customHeight="1">
      <c r="A549" s="252"/>
      <c r="B549" s="253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spans="1:26" ht="12.75" customHeight="1">
      <c r="A550" s="252"/>
      <c r="B550" s="253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spans="1:26" ht="12.75" customHeight="1">
      <c r="A551" s="252"/>
      <c r="B551" s="253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spans="1:26" ht="12.75" customHeight="1">
      <c r="A552" s="252"/>
      <c r="B552" s="253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spans="1:26" ht="12.75" customHeight="1">
      <c r="A553" s="252"/>
      <c r="B553" s="253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spans="1:26" ht="12.75" customHeight="1">
      <c r="A554" s="252"/>
      <c r="B554" s="253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spans="1:26" ht="12.75" customHeight="1">
      <c r="A555" s="252"/>
      <c r="B555" s="253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spans="1:26" ht="12.75" customHeight="1">
      <c r="A556" s="252"/>
      <c r="B556" s="253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spans="1:26" ht="12.75" customHeight="1">
      <c r="A557" s="252"/>
      <c r="B557" s="253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spans="1:26" ht="12.75" customHeight="1">
      <c r="A558" s="252"/>
      <c r="B558" s="253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spans="1:26" ht="12.75" customHeight="1">
      <c r="A559" s="252"/>
      <c r="B559" s="253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spans="1:26" ht="12.75" customHeight="1">
      <c r="A560" s="252"/>
      <c r="B560" s="253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spans="1:26" ht="12.75" customHeight="1">
      <c r="A561" s="252"/>
      <c r="B561" s="253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spans="1:26" ht="12.75" customHeight="1">
      <c r="A562" s="252"/>
      <c r="B562" s="253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spans="1:26" ht="12.75" customHeight="1">
      <c r="A563" s="252"/>
      <c r="B563" s="253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spans="1:26" ht="12.75" customHeight="1">
      <c r="A564" s="252"/>
      <c r="B564" s="253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spans="1:26" ht="12.75" customHeight="1">
      <c r="A565" s="252"/>
      <c r="B565" s="253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spans="1:26" ht="12.75" customHeight="1">
      <c r="A566" s="252"/>
      <c r="B566" s="253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spans="1:26" ht="12.75" customHeight="1">
      <c r="A567" s="252"/>
      <c r="B567" s="253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spans="1:26" ht="12.75" customHeight="1">
      <c r="A568" s="252"/>
      <c r="B568" s="253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spans="1:26" ht="12.75" customHeight="1">
      <c r="A569" s="252"/>
      <c r="B569" s="253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spans="1:26" ht="12.75" customHeight="1">
      <c r="A570" s="252"/>
      <c r="B570" s="253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spans="1:26" ht="12.75" customHeight="1">
      <c r="A571" s="252"/>
      <c r="B571" s="253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spans="1:26" ht="12.75" customHeight="1">
      <c r="A572" s="252"/>
      <c r="B572" s="253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spans="1:26" ht="12.75" customHeight="1">
      <c r="A573" s="252"/>
      <c r="B573" s="253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spans="1:26" ht="12.75" customHeight="1">
      <c r="A574" s="252"/>
      <c r="B574" s="253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spans="1:26" ht="12.75" customHeight="1">
      <c r="A575" s="252"/>
      <c r="B575" s="253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spans="1:26" ht="12.75" customHeight="1">
      <c r="A576" s="252"/>
      <c r="B576" s="253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spans="1:26" ht="12.75" customHeight="1">
      <c r="A577" s="252"/>
      <c r="B577" s="253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spans="1:26" ht="12.75" customHeight="1">
      <c r="A578" s="252"/>
      <c r="B578" s="253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spans="1:26" ht="12.75" customHeight="1">
      <c r="A579" s="252"/>
      <c r="B579" s="253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spans="1:26" ht="12.75" customHeight="1">
      <c r="A580" s="252"/>
      <c r="B580" s="253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spans="1:26" ht="12.75" customHeight="1">
      <c r="A581" s="252"/>
      <c r="B581" s="253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spans="1:26" ht="12.75" customHeight="1">
      <c r="A582" s="252"/>
      <c r="B582" s="253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spans="1:26" ht="12.75" customHeight="1">
      <c r="A583" s="252"/>
      <c r="B583" s="253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spans="1:26" ht="12.75" customHeight="1">
      <c r="A584" s="252"/>
      <c r="B584" s="253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spans="1:26" ht="12.75" customHeight="1">
      <c r="A585" s="252"/>
      <c r="B585" s="253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spans="1:26" ht="12.75" customHeight="1">
      <c r="A586" s="252"/>
      <c r="B586" s="253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spans="1:26" ht="12.75" customHeight="1">
      <c r="A587" s="252"/>
      <c r="B587" s="253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spans="1:26" ht="12.75" customHeight="1">
      <c r="A588" s="252"/>
      <c r="B588" s="253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spans="1:26" ht="12.75" customHeight="1">
      <c r="A589" s="252"/>
      <c r="B589" s="253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spans="1:26" ht="12.75" customHeight="1">
      <c r="A590" s="252"/>
      <c r="B590" s="253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spans="1:26" ht="12.75" customHeight="1">
      <c r="A591" s="252"/>
      <c r="B591" s="253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spans="1:26" ht="12.75" customHeight="1">
      <c r="A592" s="252"/>
      <c r="B592" s="253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spans="1:26" ht="12.75" customHeight="1">
      <c r="A593" s="252"/>
      <c r="B593" s="253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spans="1:26" ht="12.75" customHeight="1">
      <c r="A594" s="252"/>
      <c r="B594" s="253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spans="1:26" ht="12.75" customHeight="1">
      <c r="A595" s="252"/>
      <c r="B595" s="253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spans="1:26" ht="12.75" customHeight="1">
      <c r="A596" s="252"/>
      <c r="B596" s="253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spans="1:26" ht="12.75" customHeight="1">
      <c r="A597" s="252"/>
      <c r="B597" s="253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spans="1:26" ht="12.75" customHeight="1">
      <c r="A598" s="252"/>
      <c r="B598" s="253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spans="1:26" ht="12.75" customHeight="1">
      <c r="A599" s="252"/>
      <c r="B599" s="253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spans="1:26" ht="12.75" customHeight="1">
      <c r="A600" s="252"/>
      <c r="B600" s="253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spans="1:26" ht="12.75" customHeight="1">
      <c r="A601" s="252"/>
      <c r="B601" s="253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spans="1:26" ht="12.75" customHeight="1">
      <c r="A602" s="252"/>
      <c r="B602" s="253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spans="1:26" ht="12.75" customHeight="1">
      <c r="A603" s="252"/>
      <c r="B603" s="253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spans="1:26" ht="12.75" customHeight="1">
      <c r="A604" s="252"/>
      <c r="B604" s="253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spans="1:26" ht="12.75" customHeight="1">
      <c r="A605" s="252"/>
      <c r="B605" s="253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spans="1:26" ht="12.75" customHeight="1">
      <c r="A606" s="252"/>
      <c r="B606" s="253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spans="1:26" ht="12.75" customHeight="1">
      <c r="A607" s="252"/>
      <c r="B607" s="253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spans="1:26" ht="12.75" customHeight="1">
      <c r="A608" s="252"/>
      <c r="B608" s="253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spans="1:26" ht="12.75" customHeight="1">
      <c r="A609" s="252"/>
      <c r="B609" s="253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spans="1:26" ht="12.75" customHeight="1">
      <c r="A610" s="252"/>
      <c r="B610" s="253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spans="1:26" ht="12.75" customHeight="1">
      <c r="A611" s="252"/>
      <c r="B611" s="253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spans="1:26" ht="12.75" customHeight="1">
      <c r="A612" s="252"/>
      <c r="B612" s="253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spans="1:26" ht="12.75" customHeight="1">
      <c r="A613" s="252"/>
      <c r="B613" s="253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spans="1:26" ht="12.75" customHeight="1">
      <c r="A614" s="252"/>
      <c r="B614" s="253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spans="1:26" ht="12.75" customHeight="1">
      <c r="A615" s="252"/>
      <c r="B615" s="253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spans="1:26" ht="12.75" customHeight="1">
      <c r="A616" s="252"/>
      <c r="B616" s="253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spans="1:26" ht="12.75" customHeight="1">
      <c r="A617" s="252"/>
      <c r="B617" s="253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spans="1:26" ht="12.75" customHeight="1">
      <c r="A618" s="252"/>
      <c r="B618" s="253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spans="1:26" ht="12.75" customHeight="1">
      <c r="A619" s="252"/>
      <c r="B619" s="253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spans="1:26" ht="12.75" customHeight="1">
      <c r="A620" s="252"/>
      <c r="B620" s="253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spans="1:26" ht="12.75" customHeight="1">
      <c r="A621" s="252"/>
      <c r="B621" s="253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spans="1:26" ht="12.75" customHeight="1">
      <c r="A622" s="252"/>
      <c r="B622" s="253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spans="1:26" ht="12.75" customHeight="1">
      <c r="A623" s="252"/>
      <c r="B623" s="253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spans="1:26" ht="12.75" customHeight="1">
      <c r="A624" s="252"/>
      <c r="B624" s="253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spans="1:26" ht="12.75" customHeight="1">
      <c r="A625" s="252"/>
      <c r="B625" s="253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spans="1:26" ht="12.75" customHeight="1">
      <c r="A626" s="252"/>
      <c r="B626" s="253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spans="1:26" ht="12.75" customHeight="1">
      <c r="A627" s="252"/>
      <c r="B627" s="253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spans="1:26" ht="12.75" customHeight="1">
      <c r="A628" s="252"/>
      <c r="B628" s="253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spans="1:26" ht="12.75" customHeight="1">
      <c r="A629" s="252"/>
      <c r="B629" s="253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spans="1:26" ht="12.75" customHeight="1">
      <c r="A630" s="252"/>
      <c r="B630" s="253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spans="1:26" ht="12.75" customHeight="1">
      <c r="A631" s="252"/>
      <c r="B631" s="253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spans="1:26" ht="12.75" customHeight="1">
      <c r="A632" s="252"/>
      <c r="B632" s="253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spans="1:26" ht="12.75" customHeight="1">
      <c r="A633" s="252"/>
      <c r="B633" s="253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spans="1:26" ht="12.75" customHeight="1">
      <c r="A634" s="252"/>
      <c r="B634" s="253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spans="1:26" ht="12.75" customHeight="1">
      <c r="A635" s="252"/>
      <c r="B635" s="253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spans="1:26" ht="12.75" customHeight="1">
      <c r="A636" s="252"/>
      <c r="B636" s="253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spans="1:26" ht="12.75" customHeight="1">
      <c r="A637" s="252"/>
      <c r="B637" s="253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spans="1:26" ht="12.75" customHeight="1">
      <c r="A638" s="252"/>
      <c r="B638" s="253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spans="1:26" ht="12.75" customHeight="1">
      <c r="A639" s="252"/>
      <c r="B639" s="253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spans="1:26" ht="12.75" customHeight="1">
      <c r="A640" s="252"/>
      <c r="B640" s="253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spans="1:26" ht="12.75" customHeight="1">
      <c r="A641" s="252"/>
      <c r="B641" s="253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spans="1:26" ht="12.75" customHeight="1">
      <c r="A642" s="252"/>
      <c r="B642" s="253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spans="1:26" ht="12.75" customHeight="1">
      <c r="A643" s="252"/>
      <c r="B643" s="253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spans="1:26" ht="12.75" customHeight="1">
      <c r="A644" s="252"/>
      <c r="B644" s="253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spans="1:26" ht="12.75" customHeight="1">
      <c r="A645" s="252"/>
      <c r="B645" s="253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spans="1:26" ht="12.75" customHeight="1">
      <c r="A646" s="252"/>
      <c r="B646" s="253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spans="1:26" ht="12.75" customHeight="1">
      <c r="A647" s="252"/>
      <c r="B647" s="253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spans="1:26" ht="12.75" customHeight="1">
      <c r="A648" s="252"/>
      <c r="B648" s="253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spans="1:26" ht="12.75" customHeight="1">
      <c r="A649" s="252"/>
      <c r="B649" s="253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spans="1:26" ht="12.75" customHeight="1">
      <c r="A650" s="252"/>
      <c r="B650" s="253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spans="1:26" ht="12.75" customHeight="1">
      <c r="A651" s="252"/>
      <c r="B651" s="253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spans="1:26" ht="12.75" customHeight="1">
      <c r="A652" s="252"/>
      <c r="B652" s="253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spans="1:26" ht="12.75" customHeight="1">
      <c r="A653" s="252"/>
      <c r="B653" s="253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spans="1:26" ht="12.75" customHeight="1">
      <c r="A654" s="252"/>
      <c r="B654" s="253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spans="1:26" ht="12.75" customHeight="1">
      <c r="A655" s="252"/>
      <c r="B655" s="253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spans="1:26" ht="12.75" customHeight="1">
      <c r="A656" s="252"/>
      <c r="B656" s="253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spans="1:26" ht="12.75" customHeight="1">
      <c r="A657" s="252"/>
      <c r="B657" s="253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spans="1:26" ht="12.75" customHeight="1">
      <c r="A658" s="252"/>
      <c r="B658" s="253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spans="1:26" ht="12.75" customHeight="1">
      <c r="A659" s="252"/>
      <c r="B659" s="253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spans="1:26" ht="12.75" customHeight="1">
      <c r="A660" s="252"/>
      <c r="B660" s="253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spans="1:26" ht="12.75" customHeight="1">
      <c r="A661" s="252"/>
      <c r="B661" s="253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spans="1:26" ht="12.75" customHeight="1">
      <c r="A662" s="252"/>
      <c r="B662" s="253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spans="1:26" ht="12.75" customHeight="1">
      <c r="A663" s="252"/>
      <c r="B663" s="253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spans="1:26" ht="12.75" customHeight="1">
      <c r="A664" s="252"/>
      <c r="B664" s="253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spans="1:26" ht="12.75" customHeight="1">
      <c r="A665" s="252"/>
      <c r="B665" s="253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spans="1:26" ht="12.75" customHeight="1">
      <c r="A666" s="252"/>
      <c r="B666" s="253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spans="1:26" ht="12.75" customHeight="1">
      <c r="A667" s="252"/>
      <c r="B667" s="253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spans="1:26" ht="12.75" customHeight="1">
      <c r="A668" s="252"/>
      <c r="B668" s="253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spans="1:26" ht="12.75" customHeight="1">
      <c r="A669" s="252"/>
      <c r="B669" s="253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spans="1:26" ht="12.75" customHeight="1">
      <c r="A670" s="252"/>
      <c r="B670" s="253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spans="1:26" ht="12.75" customHeight="1">
      <c r="A671" s="252"/>
      <c r="B671" s="253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spans="1:26" ht="12.75" customHeight="1">
      <c r="A672" s="252"/>
      <c r="B672" s="253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spans="1:26" ht="12.75" customHeight="1">
      <c r="A673" s="252"/>
      <c r="B673" s="253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spans="1:26" ht="12.75" customHeight="1">
      <c r="A674" s="252"/>
      <c r="B674" s="253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spans="1:26" ht="12.75" customHeight="1">
      <c r="A675" s="252"/>
      <c r="B675" s="253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spans="1:26" ht="12.75" customHeight="1">
      <c r="A676" s="252"/>
      <c r="B676" s="253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spans="1:26" ht="12.75" customHeight="1">
      <c r="A677" s="252"/>
      <c r="B677" s="253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spans="1:26" ht="12.75" customHeight="1">
      <c r="A678" s="252"/>
      <c r="B678" s="253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spans="1:26" ht="12.75" customHeight="1">
      <c r="A679" s="252"/>
      <c r="B679" s="253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spans="1:26" ht="12.75" customHeight="1">
      <c r="A680" s="252"/>
      <c r="B680" s="253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spans="1:26" ht="12.75" customHeight="1">
      <c r="A681" s="252"/>
      <c r="B681" s="253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spans="1:26" ht="12.75" customHeight="1">
      <c r="A682" s="252"/>
      <c r="B682" s="253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spans="1:26" ht="12.75" customHeight="1">
      <c r="A683" s="252"/>
      <c r="B683" s="253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spans="1:26" ht="12.75" customHeight="1">
      <c r="A684" s="252"/>
      <c r="B684" s="253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spans="1:26" ht="12.75" customHeight="1">
      <c r="A685" s="252"/>
      <c r="B685" s="253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spans="1:26" ht="12.75" customHeight="1">
      <c r="A686" s="252"/>
      <c r="B686" s="253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spans="1:26" ht="12.75" customHeight="1">
      <c r="A687" s="252"/>
      <c r="B687" s="253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spans="1:26" ht="12.75" customHeight="1">
      <c r="A688" s="252"/>
      <c r="B688" s="253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spans="1:26" ht="12.75" customHeight="1">
      <c r="A689" s="252"/>
      <c r="B689" s="253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spans="1:26" ht="12.75" customHeight="1">
      <c r="A690" s="252"/>
      <c r="B690" s="253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spans="1:26" ht="12.75" customHeight="1">
      <c r="A691" s="252"/>
      <c r="B691" s="253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spans="1:26" ht="12.75" customHeight="1">
      <c r="A692" s="252"/>
      <c r="B692" s="253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spans="1:26" ht="12.75" customHeight="1">
      <c r="A693" s="252"/>
      <c r="B693" s="253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spans="1:26" ht="12.75" customHeight="1">
      <c r="A694" s="252"/>
      <c r="B694" s="253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spans="1:26" ht="12.75" customHeight="1">
      <c r="A695" s="252"/>
      <c r="B695" s="253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spans="1:26" ht="12.75" customHeight="1">
      <c r="A696" s="252"/>
      <c r="B696" s="253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spans="1:26" ht="12.75" customHeight="1">
      <c r="A697" s="252"/>
      <c r="B697" s="253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spans="1:26" ht="12.75" customHeight="1">
      <c r="A698" s="252"/>
      <c r="B698" s="253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spans="1:26" ht="12.75" customHeight="1">
      <c r="A699" s="252"/>
      <c r="B699" s="253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spans="1:26" ht="12.75" customHeight="1">
      <c r="A700" s="252"/>
      <c r="B700" s="253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spans="1:26" ht="12.75" customHeight="1">
      <c r="A701" s="252"/>
      <c r="B701" s="253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spans="1:26" ht="12.75" customHeight="1">
      <c r="A702" s="252"/>
      <c r="B702" s="253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spans="1:26" ht="12.75" customHeight="1">
      <c r="A703" s="252"/>
      <c r="B703" s="253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spans="1:26" ht="12.75" customHeight="1">
      <c r="A704" s="252"/>
      <c r="B704" s="253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spans="1:26" ht="12.75" customHeight="1">
      <c r="A705" s="252"/>
      <c r="B705" s="253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spans="1:26" ht="12.75" customHeight="1">
      <c r="A706" s="252"/>
      <c r="B706" s="253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spans="1:26" ht="12.75" customHeight="1">
      <c r="A707" s="252"/>
      <c r="B707" s="253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spans="1:26" ht="12.75" customHeight="1">
      <c r="A708" s="252"/>
      <c r="B708" s="253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spans="1:26" ht="12.75" customHeight="1">
      <c r="A709" s="252"/>
      <c r="B709" s="253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spans="1:26" ht="12.75" customHeight="1">
      <c r="A710" s="252"/>
      <c r="B710" s="253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spans="1:26" ht="12.75" customHeight="1">
      <c r="A711" s="252"/>
      <c r="B711" s="253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spans="1:26" ht="12.75" customHeight="1">
      <c r="A712" s="252"/>
      <c r="B712" s="253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spans="1:26" ht="12.75" customHeight="1">
      <c r="A713" s="252"/>
      <c r="B713" s="253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spans="1:26" ht="12.75" customHeight="1">
      <c r="A714" s="252"/>
      <c r="B714" s="253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spans="1:26" ht="12.75" customHeight="1">
      <c r="A715" s="252"/>
      <c r="B715" s="253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spans="1:26" ht="12.75" customHeight="1">
      <c r="A716" s="252"/>
      <c r="B716" s="253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spans="1:26" ht="12.75" customHeight="1">
      <c r="A717" s="252"/>
      <c r="B717" s="253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spans="1:26" ht="12.75" customHeight="1">
      <c r="A718" s="252"/>
      <c r="B718" s="253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spans="1:26" ht="12.75" customHeight="1">
      <c r="A719" s="252"/>
      <c r="B719" s="253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spans="1:26" ht="12.75" customHeight="1">
      <c r="A720" s="252"/>
      <c r="B720" s="253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spans="1:26" ht="12.75" customHeight="1">
      <c r="A721" s="252"/>
      <c r="B721" s="253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spans="1:26" ht="12.75" customHeight="1">
      <c r="A722" s="252"/>
      <c r="B722" s="253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spans="1:26" ht="12.75" customHeight="1">
      <c r="A723" s="252"/>
      <c r="B723" s="253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spans="1:26" ht="12.75" customHeight="1">
      <c r="A724" s="252"/>
      <c r="B724" s="253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spans="1:26" ht="12.75" customHeight="1">
      <c r="A725" s="252"/>
      <c r="B725" s="253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spans="1:26" ht="12.75" customHeight="1">
      <c r="A726" s="252"/>
      <c r="B726" s="253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spans="1:26" ht="12.75" customHeight="1">
      <c r="A727" s="252"/>
      <c r="B727" s="253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spans="1:26" ht="12.75" customHeight="1">
      <c r="A728" s="252"/>
      <c r="B728" s="253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spans="1:26" ht="12.75" customHeight="1">
      <c r="A729" s="252"/>
      <c r="B729" s="253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spans="1:26" ht="12.75" customHeight="1">
      <c r="A730" s="252"/>
      <c r="B730" s="253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spans="1:26" ht="12.75" customHeight="1">
      <c r="A731" s="252"/>
      <c r="B731" s="253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spans="1:26" ht="12.75" customHeight="1">
      <c r="A732" s="252"/>
      <c r="B732" s="253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spans="1:26" ht="12.75" customHeight="1">
      <c r="A733" s="252"/>
      <c r="B733" s="253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spans="1:26" ht="12.75" customHeight="1">
      <c r="A734" s="252"/>
      <c r="B734" s="253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spans="1:26" ht="12.75" customHeight="1">
      <c r="A735" s="252"/>
      <c r="B735" s="253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spans="1:26" ht="12.75" customHeight="1">
      <c r="A736" s="252"/>
      <c r="B736" s="253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spans="1:26" ht="12.75" customHeight="1">
      <c r="A737" s="252"/>
      <c r="B737" s="253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spans="1:26" ht="12.75" customHeight="1">
      <c r="A738" s="252"/>
      <c r="B738" s="253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spans="1:26" ht="12.75" customHeight="1">
      <c r="A739" s="252"/>
      <c r="B739" s="253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spans="1:26" ht="12.75" customHeight="1">
      <c r="A740" s="252"/>
      <c r="B740" s="253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spans="1:26" ht="12.75" customHeight="1">
      <c r="A741" s="252"/>
      <c r="B741" s="253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spans="1:26" ht="12.75" customHeight="1">
      <c r="A742" s="252"/>
      <c r="B742" s="253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spans="1:26" ht="12.75" customHeight="1">
      <c r="A743" s="252"/>
      <c r="B743" s="253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spans="1:26" ht="12.75" customHeight="1">
      <c r="A744" s="252"/>
      <c r="B744" s="253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spans="1:26" ht="12.75" customHeight="1">
      <c r="A745" s="252"/>
      <c r="B745" s="253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spans="1:26" ht="12.75" customHeight="1">
      <c r="A746" s="252"/>
      <c r="B746" s="253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spans="1:26" ht="12.75" customHeight="1">
      <c r="A747" s="252"/>
      <c r="B747" s="253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spans="1:26" ht="12.75" customHeight="1">
      <c r="A748" s="252"/>
      <c r="B748" s="253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spans="1:26" ht="12.75" customHeight="1">
      <c r="A749" s="252"/>
      <c r="B749" s="253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spans="1:26" ht="12.75" customHeight="1">
      <c r="A750" s="252"/>
      <c r="B750" s="253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spans="1:26" ht="12.75" customHeight="1">
      <c r="A751" s="252"/>
      <c r="B751" s="253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spans="1:26" ht="12.75" customHeight="1">
      <c r="A752" s="252"/>
      <c r="B752" s="253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spans="1:26" ht="12.75" customHeight="1">
      <c r="A753" s="252"/>
      <c r="B753" s="253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spans="1:26" ht="12.75" customHeight="1">
      <c r="A754" s="252"/>
      <c r="B754" s="253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spans="1:26" ht="12.75" customHeight="1">
      <c r="A755" s="252"/>
      <c r="B755" s="253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spans="1:26" ht="12.75" customHeight="1">
      <c r="A756" s="252"/>
      <c r="B756" s="253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spans="1:26" ht="12.75" customHeight="1">
      <c r="A757" s="252"/>
      <c r="B757" s="253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spans="1:26" ht="12.75" customHeight="1">
      <c r="A758" s="252"/>
      <c r="B758" s="253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spans="1:26" ht="12.75" customHeight="1">
      <c r="A759" s="252"/>
      <c r="B759" s="253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spans="1:26" ht="12.75" customHeight="1">
      <c r="A760" s="252"/>
      <c r="B760" s="253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spans="1:26" ht="12.75" customHeight="1">
      <c r="A761" s="252"/>
      <c r="B761" s="253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spans="1:26" ht="12.75" customHeight="1">
      <c r="A762" s="252"/>
      <c r="B762" s="253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spans="1:26" ht="12.75" customHeight="1">
      <c r="A763" s="252"/>
      <c r="B763" s="253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spans="1:26" ht="12.75" customHeight="1">
      <c r="A764" s="252"/>
      <c r="B764" s="253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spans="1:26" ht="12.75" customHeight="1">
      <c r="A765" s="252"/>
      <c r="B765" s="253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spans="1:26" ht="12.75" customHeight="1">
      <c r="A766" s="252"/>
      <c r="B766" s="253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spans="1:26" ht="12.75" customHeight="1">
      <c r="A767" s="252"/>
      <c r="B767" s="253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spans="1:26" ht="12.75" customHeight="1">
      <c r="A768" s="252"/>
      <c r="B768" s="253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spans="1:26" ht="12.75" customHeight="1">
      <c r="A769" s="252"/>
      <c r="B769" s="253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spans="1:26" ht="12.75" customHeight="1">
      <c r="A770" s="252"/>
      <c r="B770" s="253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spans="1:26" ht="12.75" customHeight="1">
      <c r="A771" s="252"/>
      <c r="B771" s="253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spans="1:26" ht="12.75" customHeight="1">
      <c r="A772" s="252"/>
      <c r="B772" s="253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spans="1:26" ht="12.75" customHeight="1">
      <c r="A773" s="252"/>
      <c r="B773" s="253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spans="1:26" ht="12.75" customHeight="1">
      <c r="A774" s="252"/>
      <c r="B774" s="253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spans="1:26" ht="12.75" customHeight="1">
      <c r="A775" s="252"/>
      <c r="B775" s="253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spans="1:26" ht="12.75" customHeight="1">
      <c r="A776" s="252"/>
      <c r="B776" s="253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spans="1:26" ht="12.75" customHeight="1">
      <c r="A777" s="252"/>
      <c r="B777" s="253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spans="1:26" ht="12.75" customHeight="1">
      <c r="A778" s="252"/>
      <c r="B778" s="253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spans="1:26" ht="12.75" customHeight="1">
      <c r="A779" s="252"/>
      <c r="B779" s="253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spans="1:26" ht="12.75" customHeight="1">
      <c r="A780" s="252"/>
      <c r="B780" s="253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spans="1:26" ht="12.75" customHeight="1">
      <c r="A781" s="252"/>
      <c r="B781" s="253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spans="1:26" ht="12.75" customHeight="1">
      <c r="A782" s="252"/>
      <c r="B782" s="253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spans="1:26" ht="12.75" customHeight="1">
      <c r="A783" s="252"/>
      <c r="B783" s="253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spans="1:26" ht="12.75" customHeight="1">
      <c r="A784" s="252"/>
      <c r="B784" s="253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spans="1:26" ht="12.75" customHeight="1">
      <c r="A785" s="252"/>
      <c r="B785" s="253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spans="1:26" ht="12.75" customHeight="1">
      <c r="A786" s="252"/>
      <c r="B786" s="253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spans="1:26" ht="12.75" customHeight="1">
      <c r="A787" s="252"/>
      <c r="B787" s="253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spans="1:26" ht="12.75" customHeight="1">
      <c r="A788" s="252"/>
      <c r="B788" s="253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spans="1:26" ht="12.75" customHeight="1">
      <c r="A789" s="252"/>
      <c r="B789" s="253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spans="1:26" ht="12.75" customHeight="1">
      <c r="A790" s="252"/>
      <c r="B790" s="253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spans="1:26" ht="12.75" customHeight="1">
      <c r="A791" s="252"/>
      <c r="B791" s="253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spans="1:26" ht="12.75" customHeight="1">
      <c r="A792" s="252"/>
      <c r="B792" s="253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spans="1:26" ht="12.75" customHeight="1">
      <c r="A793" s="252"/>
      <c r="B793" s="253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spans="1:26" ht="12.75" customHeight="1">
      <c r="A794" s="252"/>
      <c r="B794" s="253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spans="1:26" ht="12.75" customHeight="1">
      <c r="A795" s="252"/>
      <c r="B795" s="253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spans="1:26" ht="12.75" customHeight="1">
      <c r="A796" s="252"/>
      <c r="B796" s="253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spans="1:26" ht="12.75" customHeight="1">
      <c r="A797" s="252"/>
      <c r="B797" s="253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spans="1:26" ht="12.75" customHeight="1">
      <c r="A798" s="252"/>
      <c r="B798" s="253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spans="1:26" ht="12.75" customHeight="1">
      <c r="A799" s="252"/>
      <c r="B799" s="253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spans="1:26" ht="12.75" customHeight="1">
      <c r="A800" s="252"/>
      <c r="B800" s="253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spans="1:26" ht="12.75" customHeight="1">
      <c r="A801" s="252"/>
      <c r="B801" s="253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spans="1:26" ht="12.75" customHeight="1">
      <c r="A802" s="252"/>
      <c r="B802" s="253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spans="1:26" ht="12.75" customHeight="1">
      <c r="A803" s="252"/>
      <c r="B803" s="253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spans="1:26" ht="12.75" customHeight="1">
      <c r="A804" s="252"/>
      <c r="B804" s="253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spans="1:26" ht="12.75" customHeight="1">
      <c r="A805" s="252"/>
      <c r="B805" s="253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spans="1:26" ht="12.75" customHeight="1">
      <c r="A806" s="252"/>
      <c r="B806" s="253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spans="1:26" ht="12.75" customHeight="1">
      <c r="A807" s="252"/>
      <c r="B807" s="253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spans="1:26" ht="12.75" customHeight="1">
      <c r="A808" s="252"/>
      <c r="B808" s="253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spans="1:26" ht="12.75" customHeight="1">
      <c r="A809" s="252"/>
      <c r="B809" s="253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spans="1:26" ht="12.75" customHeight="1">
      <c r="A810" s="252"/>
      <c r="B810" s="253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spans="1:26" ht="12.75" customHeight="1">
      <c r="A811" s="252"/>
      <c r="B811" s="253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spans="1:26" ht="12.75" customHeight="1">
      <c r="A812" s="252"/>
      <c r="B812" s="253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spans="1:26" ht="12.75" customHeight="1">
      <c r="A813" s="252"/>
      <c r="B813" s="253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spans="1:26" ht="12.75" customHeight="1">
      <c r="A814" s="252"/>
      <c r="B814" s="253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spans="1:26" ht="12.75" customHeight="1">
      <c r="A815" s="252"/>
      <c r="B815" s="253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spans="1:26" ht="12.75" customHeight="1">
      <c r="A816" s="252"/>
      <c r="B816" s="253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spans="1:26" ht="12.75" customHeight="1">
      <c r="A817" s="252"/>
      <c r="B817" s="253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spans="1:26" ht="12.75" customHeight="1">
      <c r="A818" s="252"/>
      <c r="B818" s="253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spans="1:26" ht="12.75" customHeight="1">
      <c r="A819" s="252"/>
      <c r="B819" s="253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spans="1:26" ht="12.75" customHeight="1">
      <c r="A820" s="252"/>
      <c r="B820" s="253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spans="1:26" ht="12.75" customHeight="1">
      <c r="A821" s="252"/>
      <c r="B821" s="253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spans="1:26" ht="12.75" customHeight="1">
      <c r="A822" s="252"/>
      <c r="B822" s="253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spans="1:26" ht="12.75" customHeight="1">
      <c r="A823" s="252"/>
      <c r="B823" s="253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spans="1:26" ht="12.75" customHeight="1">
      <c r="A824" s="252"/>
      <c r="B824" s="253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spans="1:26" ht="12.75" customHeight="1">
      <c r="A825" s="252"/>
      <c r="B825" s="253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spans="1:26" ht="12.75" customHeight="1">
      <c r="A826" s="252"/>
      <c r="B826" s="253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spans="1:26" ht="12.75" customHeight="1">
      <c r="A827" s="252"/>
      <c r="B827" s="253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spans="1:26" ht="12.75" customHeight="1">
      <c r="A828" s="252"/>
      <c r="B828" s="253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spans="1:26" ht="12.75" customHeight="1">
      <c r="A829" s="252"/>
      <c r="B829" s="253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spans="1:26" ht="12.75" customHeight="1">
      <c r="A830" s="252"/>
      <c r="B830" s="253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spans="1:26" ht="12.75" customHeight="1">
      <c r="A831" s="252"/>
      <c r="B831" s="253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spans="1:26" ht="12.75" customHeight="1">
      <c r="A832" s="252"/>
      <c r="B832" s="253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spans="1:26" ht="12.75" customHeight="1">
      <c r="A833" s="252"/>
      <c r="B833" s="253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spans="1:26" ht="12.75" customHeight="1">
      <c r="A834" s="252"/>
      <c r="B834" s="253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spans="1:26" ht="12.75" customHeight="1">
      <c r="A835" s="252"/>
      <c r="B835" s="253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spans="1:26" ht="12.75" customHeight="1">
      <c r="A836" s="252"/>
      <c r="B836" s="253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spans="1:26" ht="12.75" customHeight="1">
      <c r="A837" s="252"/>
      <c r="B837" s="253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spans="1:26" ht="12.75" customHeight="1">
      <c r="A838" s="252"/>
      <c r="B838" s="253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spans="1:26" ht="12.75" customHeight="1">
      <c r="A839" s="252"/>
      <c r="B839" s="253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spans="1:26" ht="12.75" customHeight="1">
      <c r="A840" s="252"/>
      <c r="B840" s="253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spans="1:26" ht="12.75" customHeight="1">
      <c r="A841" s="252"/>
      <c r="B841" s="253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spans="1:26" ht="12.75" customHeight="1">
      <c r="A842" s="252"/>
      <c r="B842" s="253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spans="1:26" ht="12.75" customHeight="1">
      <c r="A843" s="252"/>
      <c r="B843" s="253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spans="1:26" ht="12.75" customHeight="1">
      <c r="A844" s="252"/>
      <c r="B844" s="253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spans="1:26" ht="12.75" customHeight="1">
      <c r="A845" s="252"/>
      <c r="B845" s="253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spans="1:26" ht="12.75" customHeight="1">
      <c r="A846" s="252"/>
      <c r="B846" s="253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spans="1:26" ht="12.75" customHeight="1">
      <c r="A847" s="252"/>
      <c r="B847" s="253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spans="1:26" ht="12.75" customHeight="1">
      <c r="A848" s="252"/>
      <c r="B848" s="253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spans="1:26" ht="12.75" customHeight="1">
      <c r="A849" s="252"/>
      <c r="B849" s="253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spans="1:26" ht="12.75" customHeight="1">
      <c r="A850" s="252"/>
      <c r="B850" s="253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spans="1:26" ht="12.75" customHeight="1">
      <c r="A851" s="252"/>
      <c r="B851" s="253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spans="1:26" ht="12.75" customHeight="1">
      <c r="A852" s="252"/>
      <c r="B852" s="253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spans="1:26" ht="12.75" customHeight="1">
      <c r="A853" s="252"/>
      <c r="B853" s="253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spans="1:26" ht="12.75" customHeight="1">
      <c r="A854" s="252"/>
      <c r="B854" s="253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spans="1:26" ht="12.75" customHeight="1">
      <c r="A855" s="252"/>
      <c r="B855" s="253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spans="1:26" ht="12.75" customHeight="1">
      <c r="A856" s="252"/>
      <c r="B856" s="253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spans="1:26" ht="12.75" customHeight="1">
      <c r="A857" s="252"/>
      <c r="B857" s="253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spans="1:26" ht="12.75" customHeight="1">
      <c r="A858" s="252"/>
      <c r="B858" s="253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spans="1:26" ht="12.75" customHeight="1">
      <c r="A859" s="252"/>
      <c r="B859" s="253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spans="1:26" ht="12.75" customHeight="1">
      <c r="A860" s="252"/>
      <c r="B860" s="253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spans="1:26" ht="12.75" customHeight="1">
      <c r="A861" s="252"/>
      <c r="B861" s="253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spans="1:26" ht="12.75" customHeight="1">
      <c r="A862" s="252"/>
      <c r="B862" s="253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spans="1:26" ht="12.75" customHeight="1">
      <c r="A863" s="252"/>
      <c r="B863" s="253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spans="1:26" ht="12.75" customHeight="1">
      <c r="A864" s="252"/>
      <c r="B864" s="253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spans="1:26" ht="12.75" customHeight="1">
      <c r="A865" s="252"/>
      <c r="B865" s="253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spans="1:26" ht="12.75" customHeight="1">
      <c r="A866" s="252"/>
      <c r="B866" s="253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spans="1:26" ht="12.75" customHeight="1">
      <c r="A867" s="252"/>
      <c r="B867" s="253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spans="1:26" ht="12.75" customHeight="1">
      <c r="A868" s="252"/>
      <c r="B868" s="253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spans="1:26" ht="12.75" customHeight="1">
      <c r="A869" s="252"/>
      <c r="B869" s="253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spans="1:26" ht="12.75" customHeight="1">
      <c r="A870" s="252"/>
      <c r="B870" s="253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spans="1:26" ht="12.75" customHeight="1">
      <c r="A871" s="252"/>
      <c r="B871" s="253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spans="1:26" ht="12.75" customHeight="1">
      <c r="A872" s="252"/>
      <c r="B872" s="253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spans="1:26" ht="12.75" customHeight="1">
      <c r="A873" s="252"/>
      <c r="B873" s="253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spans="1:26" ht="12.75" customHeight="1">
      <c r="A874" s="252"/>
      <c r="B874" s="253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spans="1:26" ht="12.75" customHeight="1">
      <c r="A875" s="252"/>
      <c r="B875" s="253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spans="1:26" ht="12.75" customHeight="1">
      <c r="A876" s="252"/>
      <c r="B876" s="253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spans="1:26" ht="12.75" customHeight="1">
      <c r="A877" s="252"/>
      <c r="B877" s="253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spans="1:26" ht="12.75" customHeight="1">
      <c r="A878" s="252"/>
      <c r="B878" s="253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spans="1:26" ht="12.75" customHeight="1">
      <c r="A879" s="252"/>
      <c r="B879" s="253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spans="1:26" ht="12.75" customHeight="1">
      <c r="A880" s="252"/>
      <c r="B880" s="253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spans="1:26" ht="12.75" customHeight="1">
      <c r="A881" s="252"/>
      <c r="B881" s="253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spans="1:26" ht="12.75" customHeight="1">
      <c r="A882" s="252"/>
      <c r="B882" s="253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spans="1:26" ht="12.75" customHeight="1">
      <c r="A883" s="252"/>
      <c r="B883" s="253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spans="1:26" ht="12.75" customHeight="1">
      <c r="A884" s="252"/>
      <c r="B884" s="253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spans="1:26" ht="12.75" customHeight="1">
      <c r="A885" s="252"/>
      <c r="B885" s="253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spans="1:26" ht="12.75" customHeight="1">
      <c r="A886" s="252"/>
      <c r="B886" s="253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spans="1:26" ht="12.75" customHeight="1">
      <c r="A887" s="252"/>
      <c r="B887" s="253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spans="1:26" ht="12.75" customHeight="1">
      <c r="A888" s="252"/>
      <c r="B888" s="253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spans="1:26" ht="12.75" customHeight="1">
      <c r="A889" s="252"/>
      <c r="B889" s="253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spans="1:26" ht="12.75" customHeight="1">
      <c r="A890" s="252"/>
      <c r="B890" s="253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spans="1:26" ht="12.75" customHeight="1">
      <c r="A891" s="252"/>
      <c r="B891" s="253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spans="1:26" ht="12.75" customHeight="1">
      <c r="A892" s="252"/>
      <c r="B892" s="253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spans="1:26" ht="12.75" customHeight="1">
      <c r="A893" s="252"/>
      <c r="B893" s="253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spans="1:26" ht="12.75" customHeight="1">
      <c r="A894" s="252"/>
      <c r="B894" s="253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spans="1:26" ht="12.75" customHeight="1">
      <c r="A895" s="252"/>
      <c r="B895" s="253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spans="1:26" ht="12.75" customHeight="1">
      <c r="A896" s="252"/>
      <c r="B896" s="253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spans="1:26" ht="12.75" customHeight="1">
      <c r="A897" s="252"/>
      <c r="B897" s="253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spans="1:26" ht="12.75" customHeight="1">
      <c r="A898" s="252"/>
      <c r="B898" s="253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spans="1:26" ht="12.75" customHeight="1">
      <c r="A899" s="252"/>
      <c r="B899" s="253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spans="1:26" ht="12.75" customHeight="1">
      <c r="A900" s="252"/>
      <c r="B900" s="253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spans="1:26" ht="12.75" customHeight="1">
      <c r="A901" s="252"/>
      <c r="B901" s="253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spans="1:26" ht="12.75" customHeight="1">
      <c r="A902" s="252"/>
      <c r="B902" s="253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spans="1:26" ht="12.75" customHeight="1">
      <c r="A903" s="252"/>
      <c r="B903" s="253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spans="1:26" ht="12.75" customHeight="1">
      <c r="A904" s="252"/>
      <c r="B904" s="253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spans="1:26" ht="12.75" customHeight="1">
      <c r="A905" s="252"/>
      <c r="B905" s="253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spans="1:26" ht="12.75" customHeight="1">
      <c r="A906" s="252"/>
      <c r="B906" s="253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spans="1:26" ht="12.75" customHeight="1">
      <c r="A907" s="252"/>
      <c r="B907" s="253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spans="1:26" ht="12.75" customHeight="1">
      <c r="A908" s="252"/>
      <c r="B908" s="253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spans="1:26" ht="12.75" customHeight="1">
      <c r="A909" s="252"/>
      <c r="B909" s="253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spans="1:26" ht="12.75" customHeight="1">
      <c r="A910" s="252"/>
      <c r="B910" s="253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spans="1:26" ht="12.75" customHeight="1">
      <c r="A911" s="252"/>
      <c r="B911" s="253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spans="1:26" ht="12.75" customHeight="1">
      <c r="A912" s="252"/>
      <c r="B912" s="253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spans="1:26" ht="12.75" customHeight="1">
      <c r="A913" s="252"/>
      <c r="B913" s="253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spans="1:26" ht="12.75" customHeight="1">
      <c r="A914" s="252"/>
      <c r="B914" s="253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spans="1:26" ht="12.75" customHeight="1">
      <c r="A915" s="252"/>
      <c r="B915" s="253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spans="1:26" ht="12.75" customHeight="1">
      <c r="A916" s="252"/>
      <c r="B916" s="253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spans="1:26" ht="12.75" customHeight="1">
      <c r="A917" s="252"/>
      <c r="B917" s="253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spans="1:26" ht="12.75" customHeight="1">
      <c r="A918" s="252"/>
      <c r="B918" s="253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spans="1:26" ht="12.75" customHeight="1">
      <c r="A919" s="252"/>
      <c r="B919" s="253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spans="1:26" ht="12.75" customHeight="1">
      <c r="A920" s="252"/>
      <c r="B920" s="253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spans="1:26" ht="12.75" customHeight="1">
      <c r="A921" s="252"/>
      <c r="B921" s="253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spans="1:26" ht="12.75" customHeight="1">
      <c r="A922" s="252"/>
      <c r="B922" s="253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spans="1:26" ht="12.75" customHeight="1">
      <c r="A923" s="252"/>
      <c r="B923" s="253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spans="1:26" ht="12.75" customHeight="1">
      <c r="A924" s="252"/>
      <c r="B924" s="253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spans="1:26" ht="12.75" customHeight="1">
      <c r="A925" s="252"/>
      <c r="B925" s="253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spans="1:26" ht="12.75" customHeight="1">
      <c r="A926" s="252"/>
      <c r="B926" s="253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spans="1:26" ht="12.75" customHeight="1">
      <c r="A927" s="252"/>
      <c r="B927" s="253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spans="1:26" ht="12.75" customHeight="1">
      <c r="A928" s="252"/>
      <c r="B928" s="253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spans="1:26" ht="12.75" customHeight="1">
      <c r="A929" s="252"/>
      <c r="B929" s="253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spans="1:26" ht="12.75" customHeight="1">
      <c r="A930" s="252"/>
      <c r="B930" s="253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spans="1:26" ht="12.75" customHeight="1">
      <c r="A931" s="252"/>
      <c r="B931" s="253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spans="1:26" ht="12.75" customHeight="1">
      <c r="A932" s="252"/>
      <c r="B932" s="253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spans="1:26" ht="12.75" customHeight="1">
      <c r="A933" s="252"/>
      <c r="B933" s="253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spans="1:26" ht="12.75" customHeight="1">
      <c r="A934" s="252"/>
      <c r="B934" s="253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spans="1:26" ht="12.75" customHeight="1">
      <c r="A935" s="252"/>
      <c r="B935" s="253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spans="1:26" ht="12.75" customHeight="1">
      <c r="A936" s="252"/>
      <c r="B936" s="253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spans="1:26" ht="12.75" customHeight="1">
      <c r="A937" s="252"/>
      <c r="B937" s="253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spans="1:26" ht="12.75" customHeight="1">
      <c r="A938" s="252"/>
      <c r="B938" s="253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spans="1:26" ht="12.75" customHeight="1">
      <c r="A939" s="252"/>
      <c r="B939" s="253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spans="1:26" ht="12.75" customHeight="1">
      <c r="A940" s="252"/>
      <c r="B940" s="253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spans="1:26" ht="12.75" customHeight="1">
      <c r="A941" s="252"/>
      <c r="B941" s="253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spans="1:26" ht="12.75" customHeight="1">
      <c r="A942" s="252"/>
      <c r="B942" s="253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spans="1:26" ht="12.75" customHeight="1">
      <c r="A943" s="252"/>
      <c r="B943" s="253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spans="1:26" ht="12.75" customHeight="1">
      <c r="A944" s="252"/>
      <c r="B944" s="253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spans="1:26" ht="12.75" customHeight="1">
      <c r="A945" s="252"/>
      <c r="B945" s="253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spans="1:26" ht="12.75" customHeight="1">
      <c r="A946" s="252"/>
      <c r="B946" s="253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spans="1:26" ht="12.75" customHeight="1">
      <c r="A947" s="252"/>
      <c r="B947" s="253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spans="1:26" ht="12.75" customHeight="1">
      <c r="A948" s="252"/>
      <c r="B948" s="253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spans="1:26" ht="12.75" customHeight="1">
      <c r="A949" s="252"/>
      <c r="B949" s="253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spans="1:26" ht="12.75" customHeight="1">
      <c r="A950" s="252"/>
      <c r="B950" s="253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spans="1:26" ht="12.75" customHeight="1">
      <c r="A951" s="252"/>
      <c r="B951" s="253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spans="1:26" ht="12.75" customHeight="1">
      <c r="A952" s="252"/>
      <c r="B952" s="253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spans="1:26" ht="12.75" customHeight="1">
      <c r="A953" s="252"/>
      <c r="B953" s="253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spans="1:26" ht="12.75" customHeight="1">
      <c r="A954" s="252"/>
      <c r="B954" s="253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spans="1:26" ht="12.75" customHeight="1">
      <c r="A955" s="252"/>
      <c r="B955" s="253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spans="1:26" ht="12.75" customHeight="1">
      <c r="A956" s="252"/>
      <c r="B956" s="253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spans="1:26" ht="12.75" customHeight="1">
      <c r="A957" s="252"/>
      <c r="B957" s="253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spans="1:26" ht="12.75" customHeight="1">
      <c r="A958" s="252"/>
      <c r="B958" s="253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spans="1:26" ht="12.75" customHeight="1">
      <c r="A959" s="252"/>
      <c r="B959" s="253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spans="1:26" ht="12.75" customHeight="1">
      <c r="A960" s="252"/>
      <c r="B960" s="253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spans="1:26" ht="12.75" customHeight="1">
      <c r="A961" s="252"/>
      <c r="B961" s="253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spans="1:26" ht="12.75" customHeight="1">
      <c r="A962" s="252"/>
      <c r="B962" s="253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spans="1:26" ht="12.75" customHeight="1">
      <c r="A963" s="252"/>
      <c r="B963" s="253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spans="1:26" ht="12.75" customHeight="1">
      <c r="A964" s="252"/>
      <c r="B964" s="253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spans="1:26" ht="12.75" customHeight="1">
      <c r="A965" s="252"/>
      <c r="B965" s="253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spans="1:26" ht="12.75" customHeight="1">
      <c r="A966" s="252"/>
      <c r="B966" s="253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spans="1:26" ht="12.75" customHeight="1">
      <c r="A967" s="252"/>
      <c r="B967" s="253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spans="1:26" ht="12.75" customHeight="1">
      <c r="A968" s="252"/>
      <c r="B968" s="253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spans="1:26" ht="12.75" customHeight="1">
      <c r="A969" s="252"/>
      <c r="B969" s="253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spans="1:26" ht="12.75" customHeight="1">
      <c r="A970" s="252"/>
      <c r="B970" s="253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spans="1:26" ht="12.75" customHeight="1">
      <c r="A971" s="252"/>
      <c r="B971" s="253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spans="1:26" ht="12.75" customHeight="1">
      <c r="A972" s="252"/>
      <c r="B972" s="253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spans="1:26" ht="12.75" customHeight="1">
      <c r="A973" s="252"/>
      <c r="B973" s="253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spans="1:26" ht="12.75" customHeight="1">
      <c r="A974" s="252"/>
      <c r="B974" s="253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spans="1:26" ht="12.75" customHeight="1">
      <c r="A975" s="252"/>
      <c r="B975" s="253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spans="1:26" ht="12.75" customHeight="1">
      <c r="A976" s="252"/>
      <c r="B976" s="253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spans="1:26" ht="12.75" customHeight="1">
      <c r="A977" s="252"/>
      <c r="B977" s="253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spans="1:26" ht="12.75" customHeight="1">
      <c r="A978" s="252"/>
      <c r="B978" s="253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spans="1:26" ht="12.75" customHeight="1">
      <c r="A979" s="252"/>
      <c r="B979" s="253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spans="1:26" ht="12.75" customHeight="1">
      <c r="A980" s="252"/>
      <c r="B980" s="253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spans="1:26" ht="12.75" customHeight="1">
      <c r="A981" s="252"/>
      <c r="B981" s="253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spans="1:26" ht="12.75" customHeight="1">
      <c r="A982" s="252"/>
      <c r="B982" s="253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spans="1:26" ht="12.75" customHeight="1">
      <c r="A983" s="252"/>
      <c r="B983" s="253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spans="1:26" ht="12.75" customHeight="1">
      <c r="A984" s="252"/>
      <c r="B984" s="253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spans="1:26" ht="12.75" customHeight="1">
      <c r="A985" s="252"/>
      <c r="B985" s="253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spans="1:26" ht="12.75" customHeight="1">
      <c r="A986" s="252"/>
      <c r="B986" s="253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spans="1:26" ht="12.75" customHeight="1">
      <c r="A987" s="252"/>
      <c r="B987" s="253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spans="1:26" ht="12.75" customHeight="1">
      <c r="A988" s="252"/>
      <c r="B988" s="253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spans="1:26" ht="12.75" customHeight="1">
      <c r="A989" s="252"/>
      <c r="B989" s="253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spans="1:26" ht="12.75" customHeight="1">
      <c r="A990" s="252"/>
      <c r="B990" s="253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spans="1:26" ht="12.75" customHeight="1">
      <c r="A991" s="252"/>
      <c r="B991" s="253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spans="1:26" ht="12.75" customHeight="1">
      <c r="A992" s="252"/>
      <c r="B992" s="253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spans="1:26" ht="12.75" customHeight="1">
      <c r="A993" s="252"/>
      <c r="B993" s="253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spans="1:26" ht="12.75" customHeight="1">
      <c r="A994" s="252"/>
      <c r="B994" s="253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spans="1:26" ht="12.75" customHeight="1">
      <c r="A995" s="252"/>
      <c r="B995" s="253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spans="1:26" ht="12.75" customHeight="1">
      <c r="A996" s="252"/>
      <c r="B996" s="253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spans="1:26" ht="12.75" customHeight="1">
      <c r="A997" s="252"/>
      <c r="B997" s="253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spans="1:26" ht="12.75" customHeight="1">
      <c r="A998" s="252"/>
      <c r="B998" s="253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spans="1:26" ht="12.75" customHeight="1">
      <c r="A999" s="252"/>
      <c r="B999" s="253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</sheetData>
  <mergeCells count="22">
    <mergeCell ref="C2:G2"/>
    <mergeCell ref="B3:G3"/>
    <mergeCell ref="C4:E4"/>
    <mergeCell ref="C5:E5"/>
    <mergeCell ref="C6:E6"/>
    <mergeCell ref="B14:C14"/>
    <mergeCell ref="C15:F15"/>
    <mergeCell ref="C16:F16"/>
    <mergeCell ref="C17:F17"/>
    <mergeCell ref="C7:E7"/>
    <mergeCell ref="B9:C9"/>
    <mergeCell ref="F10:G10"/>
    <mergeCell ref="F11:G11"/>
    <mergeCell ref="F12:G12"/>
    <mergeCell ref="B26:E26"/>
    <mergeCell ref="C18:F18"/>
    <mergeCell ref="C19:F19"/>
    <mergeCell ref="C20:F20"/>
    <mergeCell ref="C21:F21"/>
    <mergeCell ref="B23:C23"/>
    <mergeCell ref="B24:E24"/>
    <mergeCell ref="B25:E25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E26" sqref="E26"/>
    </sheetView>
  </sheetViews>
  <sheetFormatPr defaultColWidth="14.33203125" defaultRowHeight="15" customHeight="1"/>
  <cols>
    <col min="1" max="1" width="2.83203125" customWidth="1"/>
    <col min="2" max="2" width="5" customWidth="1"/>
    <col min="3" max="3" width="57.83203125" customWidth="1"/>
    <col min="4" max="4" width="15.83203125" customWidth="1"/>
    <col min="5" max="5" width="60.83203125" customWidth="1"/>
    <col min="6" max="6" width="12" customWidth="1"/>
    <col min="7" max="7" width="10.1640625" customWidth="1"/>
    <col min="8" max="26" width="8" customWidth="1"/>
  </cols>
  <sheetData>
    <row r="1" spans="1:26" ht="12.7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157" t="s">
        <v>0</v>
      </c>
      <c r="B2" s="158"/>
      <c r="C2" s="158"/>
      <c r="D2" s="158"/>
      <c r="E2" s="158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58"/>
      <c r="B3" s="158"/>
      <c r="C3" s="158"/>
      <c r="D3" s="158"/>
      <c r="E3" s="158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5" t="s">
        <v>2</v>
      </c>
      <c r="C4" s="6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8" t="s">
        <v>5</v>
      </c>
      <c r="C5" s="9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1" t="s">
        <v>6</v>
      </c>
      <c r="C6" s="13" t="s">
        <v>8</v>
      </c>
      <c r="D6" s="14" t="s">
        <v>9</v>
      </c>
      <c r="E6" s="15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7">
        <v>1</v>
      </c>
      <c r="C7" s="18"/>
      <c r="D7" s="20"/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2">
        <v>2</v>
      </c>
      <c r="C8" s="24"/>
      <c r="D8" s="25"/>
      <c r="E8" s="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1"/>
      <c r="C9" s="1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5" t="s">
        <v>15</v>
      </c>
      <c r="C11" s="6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8" t="s">
        <v>17</v>
      </c>
      <c r="C12" s="9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1" t="s">
        <v>6</v>
      </c>
      <c r="C13" s="13" t="s">
        <v>7</v>
      </c>
      <c r="D13" s="159" t="s">
        <v>10</v>
      </c>
      <c r="E13" s="147"/>
      <c r="F13" s="2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7">
        <v>1</v>
      </c>
      <c r="C14" s="28"/>
      <c r="D14" s="160"/>
      <c r="E14" s="161"/>
      <c r="F14" s="2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29">
        <v>2</v>
      </c>
      <c r="C15" s="30"/>
      <c r="D15" s="162"/>
      <c r="E15" s="163"/>
      <c r="F15" s="2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32"/>
      <c r="C16" s="1"/>
      <c r="D16" s="33"/>
      <c r="E16" s="33"/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5" t="s">
        <v>22</v>
      </c>
      <c r="C17" s="6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8" t="s">
        <v>24</v>
      </c>
      <c r="C18" s="9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1" t="s">
        <v>6</v>
      </c>
      <c r="C19" s="13" t="s">
        <v>7</v>
      </c>
      <c r="D19" s="35" t="s">
        <v>26</v>
      </c>
      <c r="E19" s="36" t="s">
        <v>10</v>
      </c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37"/>
      <c r="C20" s="38"/>
      <c r="D20" s="39"/>
      <c r="E20" s="40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37"/>
      <c r="C21" s="41"/>
      <c r="D21" s="42"/>
      <c r="E21" s="43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5" t="s">
        <v>33</v>
      </c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8" t="s">
        <v>35</v>
      </c>
      <c r="C24" s="2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1" t="s">
        <v>6</v>
      </c>
      <c r="C25" s="13" t="s">
        <v>37</v>
      </c>
      <c r="D25" s="14" t="s">
        <v>38</v>
      </c>
      <c r="E25" s="15" t="s">
        <v>10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50000000000003" customHeight="1">
      <c r="A26" s="1"/>
      <c r="B26" s="46">
        <v>1</v>
      </c>
      <c r="C26" s="47" t="s">
        <v>40</v>
      </c>
      <c r="D26" s="48"/>
      <c r="E26" s="49" t="s">
        <v>41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50">
        <v>2</v>
      </c>
      <c r="C27" s="51" t="s">
        <v>44</v>
      </c>
      <c r="D27" s="48"/>
      <c r="E27" s="5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1"/>
      <c r="B28" s="52">
        <v>3</v>
      </c>
      <c r="C28" s="53" t="s">
        <v>145</v>
      </c>
      <c r="D28" s="50"/>
      <c r="E28" s="53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2"/>
      <c r="D29" s="2"/>
      <c r="E29" s="2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5" t="s">
        <v>52</v>
      </c>
      <c r="C30" s="2"/>
      <c r="D30" s="2"/>
      <c r="E30" s="2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8" t="s">
        <v>53</v>
      </c>
      <c r="C31" s="2"/>
      <c r="D31" s="2"/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1" t="s">
        <v>6</v>
      </c>
      <c r="C32" s="13" t="s">
        <v>55</v>
      </c>
      <c r="D32" s="159" t="s">
        <v>10</v>
      </c>
      <c r="E32" s="14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"/>
      <c r="B33" s="56">
        <v>1</v>
      </c>
      <c r="C33" s="57" t="s">
        <v>58</v>
      </c>
      <c r="D33" s="162"/>
      <c r="E33" s="16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2.1" customHeight="1">
      <c r="A34" s="2"/>
      <c r="B34" s="56">
        <v>2</v>
      </c>
      <c r="C34" s="57" t="s">
        <v>60</v>
      </c>
      <c r="D34" s="151"/>
      <c r="E34" s="15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>
      <c r="A35" s="2"/>
      <c r="B35" s="56">
        <v>3</v>
      </c>
      <c r="C35" s="47" t="s">
        <v>62</v>
      </c>
      <c r="D35" s="151"/>
      <c r="E35" s="15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56">
        <v>4</v>
      </c>
      <c r="C36" s="57" t="s">
        <v>63</v>
      </c>
      <c r="D36" s="153"/>
      <c r="E36" s="15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1"/>
      <c r="B37" s="59" t="s">
        <v>6</v>
      </c>
      <c r="C37" s="61" t="s">
        <v>68</v>
      </c>
      <c r="D37" s="155" t="s">
        <v>10</v>
      </c>
      <c r="E37" s="14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2"/>
      <c r="B38" s="62">
        <v>1</v>
      </c>
      <c r="C38" s="57" t="s">
        <v>69</v>
      </c>
      <c r="D38" s="156"/>
      <c r="E38" s="15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1"/>
      <c r="B39" s="1"/>
      <c r="C39" s="1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2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2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2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2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workbookViewId="0">
      <selection activeCell="D20" sqref="D20"/>
    </sheetView>
  </sheetViews>
  <sheetFormatPr defaultColWidth="14.33203125" defaultRowHeight="15" customHeight="1"/>
  <cols>
    <col min="1" max="1" width="4.83203125" customWidth="1"/>
    <col min="2" max="2" width="9.1640625" customWidth="1"/>
    <col min="3" max="3" width="22.83203125" customWidth="1"/>
    <col min="4" max="4" width="27.83203125" customWidth="1"/>
    <col min="5" max="5" width="30.33203125" customWidth="1"/>
    <col min="6" max="6" width="29.1640625" customWidth="1"/>
    <col min="7" max="7" width="26.83203125" customWidth="1"/>
    <col min="8" max="8" width="30.1640625" customWidth="1"/>
    <col min="9" max="26" width="8" customWidth="1"/>
  </cols>
  <sheetData>
    <row r="1" spans="1:26" ht="12.75" customHeight="1">
      <c r="A1" s="1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>
      <c r="A2" s="1"/>
      <c r="B2" s="3"/>
      <c r="C2" s="4"/>
      <c r="D2" s="4"/>
      <c r="E2" s="4" t="s">
        <v>1</v>
      </c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7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0" t="s">
        <v>6</v>
      </c>
      <c r="B6" s="166" t="s">
        <v>7</v>
      </c>
      <c r="C6" s="184"/>
      <c r="D6" s="172" t="s">
        <v>8</v>
      </c>
      <c r="E6" s="184"/>
      <c r="F6" s="16" t="s">
        <v>9</v>
      </c>
      <c r="G6" s="172" t="s">
        <v>10</v>
      </c>
      <c r="H6" s="15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9">
        <v>1</v>
      </c>
      <c r="B7" s="187" t="s">
        <v>11</v>
      </c>
      <c r="C7" s="174"/>
      <c r="D7" s="187"/>
      <c r="E7" s="174"/>
      <c r="F7" s="23" t="s">
        <v>12</v>
      </c>
      <c r="G7" s="191"/>
      <c r="H7" s="19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9">
        <v>2</v>
      </c>
      <c r="B8" s="187" t="s">
        <v>13</v>
      </c>
      <c r="C8" s="174"/>
      <c r="D8" s="188"/>
      <c r="E8" s="174"/>
      <c r="F8" s="23" t="s">
        <v>14</v>
      </c>
      <c r="G8" s="188"/>
      <c r="H8" s="19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9">
        <v>3</v>
      </c>
      <c r="B9" s="185" t="s">
        <v>16</v>
      </c>
      <c r="C9" s="174"/>
      <c r="D9" s="188"/>
      <c r="E9" s="174"/>
      <c r="F9" s="23" t="s">
        <v>14</v>
      </c>
      <c r="G9" s="188"/>
      <c r="H9" s="19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9">
        <v>4</v>
      </c>
      <c r="B10" s="185" t="s">
        <v>18</v>
      </c>
      <c r="C10" s="174"/>
      <c r="D10" s="188"/>
      <c r="E10" s="174"/>
      <c r="F10" s="23" t="s">
        <v>14</v>
      </c>
      <c r="G10" s="188"/>
      <c r="H10" s="19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9">
        <v>5</v>
      </c>
      <c r="B11" s="187" t="s">
        <v>19</v>
      </c>
      <c r="C11" s="174"/>
      <c r="D11" s="188"/>
      <c r="E11" s="174"/>
      <c r="F11" s="23" t="s">
        <v>14</v>
      </c>
      <c r="G11" s="188"/>
      <c r="H11" s="19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9">
        <v>6</v>
      </c>
      <c r="B12" s="187" t="s">
        <v>20</v>
      </c>
      <c r="C12" s="174"/>
      <c r="D12" s="188"/>
      <c r="E12" s="174"/>
      <c r="F12" s="23" t="s">
        <v>14</v>
      </c>
      <c r="G12" s="188"/>
      <c r="H12" s="19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9">
        <v>7</v>
      </c>
      <c r="B13" s="194" t="s">
        <v>21</v>
      </c>
      <c r="C13" s="190"/>
      <c r="D13" s="189"/>
      <c r="E13" s="190"/>
      <c r="F13" s="31" t="s">
        <v>12</v>
      </c>
      <c r="G13" s="189"/>
      <c r="H13" s="19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34"/>
      <c r="C14" s="3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5" t="s">
        <v>23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7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0" t="s">
        <v>6</v>
      </c>
      <c r="B17" s="166" t="s">
        <v>23</v>
      </c>
      <c r="C17" s="184"/>
      <c r="D17" s="16" t="s">
        <v>27</v>
      </c>
      <c r="E17" s="16" t="s">
        <v>28</v>
      </c>
      <c r="F17" s="16" t="s">
        <v>29</v>
      </c>
      <c r="G17" s="172" t="s">
        <v>10</v>
      </c>
      <c r="H17" s="15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>
      <c r="A18" s="23">
        <v>1</v>
      </c>
      <c r="B18" s="185" t="s">
        <v>31</v>
      </c>
      <c r="C18" s="174"/>
      <c r="D18" s="44" t="s">
        <v>148</v>
      </c>
      <c r="E18" s="219" t="s">
        <v>149</v>
      </c>
      <c r="F18" s="219" t="s">
        <v>146</v>
      </c>
      <c r="G18" s="173" t="s">
        <v>32</v>
      </c>
      <c r="H18" s="17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45">
        <v>2</v>
      </c>
      <c r="B19" s="186" t="s">
        <v>36</v>
      </c>
      <c r="C19" s="176"/>
      <c r="D19" s="44" t="s">
        <v>148</v>
      </c>
      <c r="E19" s="219" t="s">
        <v>149</v>
      </c>
      <c r="F19" s="219" t="s">
        <v>146</v>
      </c>
      <c r="G19" s="175"/>
      <c r="H19" s="17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23">
        <v>3</v>
      </c>
      <c r="B20" s="185" t="s">
        <v>42</v>
      </c>
      <c r="C20" s="174"/>
      <c r="D20" s="222" t="s">
        <v>147</v>
      </c>
      <c r="E20" s="219" t="s">
        <v>149</v>
      </c>
      <c r="F20" s="220" t="s">
        <v>146</v>
      </c>
      <c r="G20" s="173"/>
      <c r="H20" s="17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23">
        <v>4</v>
      </c>
      <c r="B21" s="185" t="s">
        <v>45</v>
      </c>
      <c r="C21" s="174"/>
      <c r="D21" s="222" t="s">
        <v>147</v>
      </c>
      <c r="E21" s="219" t="s">
        <v>149</v>
      </c>
      <c r="F21" s="221" t="s">
        <v>146</v>
      </c>
      <c r="G21" s="173"/>
      <c r="H21" s="17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22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5" t="s">
        <v>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7" t="s">
        <v>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54" t="s">
        <v>6</v>
      </c>
      <c r="B25" s="167" t="s">
        <v>50</v>
      </c>
      <c r="C25" s="146"/>
      <c r="D25" s="155" t="s">
        <v>51</v>
      </c>
      <c r="E25" s="145"/>
      <c r="F25" s="146"/>
      <c r="G25" s="155" t="s">
        <v>10</v>
      </c>
      <c r="H25" s="14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55">
        <v>1</v>
      </c>
      <c r="B26" s="168"/>
      <c r="C26" s="169"/>
      <c r="D26" s="177"/>
      <c r="E26" s="178"/>
      <c r="F26" s="169"/>
      <c r="G26" s="177"/>
      <c r="H26" s="16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58">
        <v>2</v>
      </c>
      <c r="B27" s="170"/>
      <c r="C27" s="171"/>
      <c r="D27" s="179"/>
      <c r="E27" s="180"/>
      <c r="F27" s="171"/>
      <c r="G27" s="181"/>
      <c r="H27" s="17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60">
        <v>3</v>
      </c>
      <c r="B28" s="164"/>
      <c r="C28" s="165"/>
      <c r="D28" s="182"/>
      <c r="E28" s="183"/>
      <c r="F28" s="165"/>
      <c r="G28" s="182"/>
      <c r="H28" s="16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5" t="s">
        <v>70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63" t="s">
        <v>71</v>
      </c>
      <c r="B31" s="64"/>
      <c r="C31" s="64"/>
      <c r="D31" s="64"/>
      <c r="E31" s="64"/>
      <c r="F31" s="64"/>
      <c r="G31" s="64"/>
      <c r="H31" s="6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66" t="s">
        <v>6</v>
      </c>
      <c r="B32" s="166" t="s">
        <v>72</v>
      </c>
      <c r="C32" s="149"/>
      <c r="D32" s="150"/>
      <c r="E32" s="166" t="s">
        <v>73</v>
      </c>
      <c r="F32" s="150"/>
      <c r="G32" s="166" t="s">
        <v>74</v>
      </c>
      <c r="H32" s="15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7.25" customHeight="1">
      <c r="A33" s="223">
        <v>1</v>
      </c>
      <c r="B33" s="226" t="s">
        <v>150</v>
      </c>
      <c r="C33" s="227"/>
      <c r="D33" s="228"/>
      <c r="E33" s="226" t="s">
        <v>151</v>
      </c>
      <c r="F33" s="228"/>
      <c r="G33" s="226" t="s">
        <v>152</v>
      </c>
      <c r="H33" s="22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47.25" customHeight="1">
      <c r="A34" s="67"/>
      <c r="B34" s="173"/>
      <c r="C34" s="225"/>
      <c r="D34" s="224"/>
      <c r="E34" s="173"/>
      <c r="F34" s="224"/>
      <c r="G34" s="173"/>
      <c r="H34" s="22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41.25" customHeight="1">
      <c r="A35" s="67"/>
      <c r="B35" s="173"/>
      <c r="C35" s="225"/>
      <c r="D35" s="224"/>
      <c r="E35" s="173"/>
      <c r="F35" s="224"/>
      <c r="G35" s="173"/>
      <c r="H35" s="22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6" customHeight="1">
      <c r="A36" s="67"/>
      <c r="B36" s="173"/>
      <c r="C36" s="225"/>
      <c r="D36" s="224"/>
      <c r="E36" s="173"/>
      <c r="F36" s="224"/>
      <c r="G36" s="173"/>
      <c r="H36" s="22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6" customHeight="1">
      <c r="A37" s="67"/>
      <c r="B37" s="173"/>
      <c r="C37" s="225"/>
      <c r="D37" s="224"/>
      <c r="E37" s="173"/>
      <c r="F37" s="224"/>
      <c r="G37" s="173"/>
      <c r="H37" s="22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5" t="s">
        <v>80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7" t="s">
        <v>82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68" t="s">
        <v>6</v>
      </c>
      <c r="B41" s="196" t="s">
        <v>85</v>
      </c>
      <c r="C41" s="146"/>
      <c r="D41" s="155" t="s">
        <v>8</v>
      </c>
      <c r="E41" s="145"/>
      <c r="F41" s="145"/>
      <c r="G41" s="145"/>
      <c r="H41" s="14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69">
        <v>1</v>
      </c>
      <c r="B42" s="197"/>
      <c r="C42" s="192"/>
      <c r="D42" s="197"/>
      <c r="E42" s="201"/>
      <c r="F42" s="201"/>
      <c r="G42" s="201"/>
      <c r="H42" s="19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70">
        <v>2</v>
      </c>
      <c r="B43" s="198"/>
      <c r="C43" s="193"/>
      <c r="D43" s="198"/>
      <c r="E43" s="202"/>
      <c r="F43" s="202"/>
      <c r="G43" s="202"/>
      <c r="H43" s="19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5" t="s">
        <v>92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7" t="s">
        <v>93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68" t="s">
        <v>6</v>
      </c>
      <c r="B47" s="155" t="s">
        <v>94</v>
      </c>
      <c r="C47" s="146"/>
      <c r="D47" s="155" t="s">
        <v>8</v>
      </c>
      <c r="E47" s="146"/>
      <c r="F47" s="72" t="s">
        <v>9</v>
      </c>
      <c r="G47" s="72" t="s">
        <v>96</v>
      </c>
      <c r="H47" s="72" t="s">
        <v>97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73">
        <v>1</v>
      </c>
      <c r="B48" s="199"/>
      <c r="C48" s="200"/>
      <c r="D48" s="199"/>
      <c r="E48" s="200"/>
      <c r="F48" s="74"/>
      <c r="G48" s="75"/>
      <c r="H48" s="7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76">
        <v>2</v>
      </c>
      <c r="B49" s="195"/>
      <c r="C49" s="192"/>
      <c r="D49" s="195"/>
      <c r="E49" s="192"/>
      <c r="F49" s="77"/>
      <c r="G49" s="75"/>
      <c r="H49" s="7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73">
        <v>3</v>
      </c>
      <c r="B50" s="195"/>
      <c r="C50" s="192"/>
      <c r="D50" s="195"/>
      <c r="E50" s="192"/>
      <c r="F50" s="77"/>
      <c r="G50" s="75"/>
      <c r="H50" s="7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1"/>
      <c r="B51" s="1"/>
      <c r="C51" s="1"/>
      <c r="D51" s="1"/>
      <c r="E51" s="78"/>
      <c r="F51" s="7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0"/>
  <sheetViews>
    <sheetView topLeftCell="A22" workbookViewId="0">
      <selection activeCell="D35" sqref="D35"/>
    </sheetView>
  </sheetViews>
  <sheetFormatPr defaultColWidth="14.33203125" defaultRowHeight="15" customHeight="1"/>
  <cols>
    <col min="1" max="1" width="2.83203125" customWidth="1"/>
    <col min="2" max="2" width="39" customWidth="1"/>
    <col min="3" max="3" width="15.83203125" customWidth="1"/>
    <col min="4" max="4" width="32.1640625" customWidth="1"/>
    <col min="5" max="6" width="15.83203125" customWidth="1"/>
    <col min="7" max="7" width="19.83203125" customWidth="1"/>
    <col min="8" max="8" width="27.1640625" customWidth="1"/>
    <col min="9" max="26" width="8" customWidth="1"/>
  </cols>
  <sheetData>
    <row r="1" spans="1:26" ht="12.75" customHeight="1">
      <c r="A1" s="1"/>
      <c r="B1" s="1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>
      <c r="A2" s="1"/>
      <c r="B2" s="1"/>
      <c r="C2" s="3"/>
      <c r="D2" s="4" t="s">
        <v>83</v>
      </c>
      <c r="E2" s="4"/>
      <c r="F2" s="4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5" t="s">
        <v>98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8" t="s">
        <v>99</v>
      </c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5" t="s">
        <v>100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8" t="s">
        <v>101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79" t="s">
        <v>102</v>
      </c>
      <c r="C10" s="206" t="s">
        <v>103</v>
      </c>
      <c r="D10" s="208" t="s">
        <v>104</v>
      </c>
      <c r="E10" s="208" t="s">
        <v>105</v>
      </c>
      <c r="F10" s="209" t="s">
        <v>106</v>
      </c>
      <c r="G10" s="210"/>
      <c r="H10" s="2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80" t="s">
        <v>107</v>
      </c>
      <c r="C11" s="207"/>
      <c r="D11" s="207"/>
      <c r="E11" s="207"/>
      <c r="F11" s="207"/>
      <c r="G11" s="211"/>
      <c r="H11" s="2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81" t="s">
        <v>108</v>
      </c>
      <c r="C12" s="73" t="s">
        <v>109</v>
      </c>
      <c r="D12" s="73"/>
      <c r="E12" s="73" t="s">
        <v>109</v>
      </c>
      <c r="F12" s="73"/>
      <c r="G12" s="82"/>
      <c r="H12" s="8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81" t="s">
        <v>110</v>
      </c>
      <c r="C13" s="76"/>
      <c r="D13" s="76" t="s">
        <v>109</v>
      </c>
      <c r="E13" s="76" t="s">
        <v>109</v>
      </c>
      <c r="F13" s="76" t="s">
        <v>109</v>
      </c>
      <c r="G13" s="84"/>
      <c r="H13" s="8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>
      <c r="A14" s="1"/>
      <c r="B14" s="85" t="s">
        <v>9</v>
      </c>
      <c r="C14" s="86" t="s">
        <v>111</v>
      </c>
      <c r="D14" s="86" t="s">
        <v>112</v>
      </c>
      <c r="E14" s="86" t="s">
        <v>112</v>
      </c>
      <c r="F14" s="86" t="s">
        <v>112</v>
      </c>
      <c r="G14" s="87"/>
      <c r="H14" s="8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88"/>
      <c r="C15" s="88"/>
      <c r="D15" s="88"/>
      <c r="E15" s="88"/>
      <c r="F15" s="8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88"/>
      <c r="C16" s="88"/>
      <c r="D16" s="88"/>
      <c r="E16" s="88"/>
      <c r="F16" s="8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5" t="s">
        <v>113</v>
      </c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8" t="s">
        <v>114</v>
      </c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55" t="s">
        <v>115</v>
      </c>
      <c r="C19" s="146"/>
      <c r="D19" s="155" t="s">
        <v>116</v>
      </c>
      <c r="E19" s="145"/>
      <c r="F19" s="205"/>
      <c r="G19" s="155" t="s">
        <v>10</v>
      </c>
      <c r="H19" s="14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 customHeight="1">
      <c r="A20" s="2"/>
      <c r="B20" s="203" t="s">
        <v>153</v>
      </c>
      <c r="C20" s="146"/>
      <c r="D20" s="203"/>
      <c r="E20" s="145"/>
      <c r="F20" s="145"/>
      <c r="G20" s="204"/>
      <c r="H20" s="14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1"/>
      <c r="B21" s="1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5" t="s">
        <v>117</v>
      </c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8" t="s">
        <v>118</v>
      </c>
      <c r="C24" s="2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2"/>
      <c r="B25" s="68" t="s">
        <v>85</v>
      </c>
      <c r="C25" s="155" t="s">
        <v>119</v>
      </c>
      <c r="D25" s="145"/>
      <c r="E25" s="145"/>
      <c r="F25" s="146"/>
      <c r="G25" s="196" t="s">
        <v>10</v>
      </c>
      <c r="H25" s="14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1"/>
      <c r="B26" s="229" t="s">
        <v>120</v>
      </c>
      <c r="C26" s="230" t="s">
        <v>154</v>
      </c>
      <c r="D26" s="231"/>
      <c r="E26" s="231"/>
      <c r="F26" s="231"/>
      <c r="G26" s="232" t="s">
        <v>121</v>
      </c>
      <c r="H26" s="23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29" t="s">
        <v>122</v>
      </c>
      <c r="C27" s="234" t="s">
        <v>155</v>
      </c>
      <c r="D27" s="235"/>
      <c r="E27" s="235"/>
      <c r="F27" s="235"/>
      <c r="G27" s="236"/>
      <c r="H27" s="23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29" t="s">
        <v>156</v>
      </c>
      <c r="C28" s="238" t="s">
        <v>147</v>
      </c>
      <c r="D28" s="239"/>
      <c r="E28" s="239"/>
      <c r="F28" s="240"/>
      <c r="G28" s="236"/>
      <c r="H28" s="24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29" t="s">
        <v>157</v>
      </c>
      <c r="C29" s="238" t="s">
        <v>147</v>
      </c>
      <c r="D29" s="239"/>
      <c r="E29" s="239"/>
      <c r="F29" s="240"/>
      <c r="G29" s="236"/>
      <c r="H29" s="24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42" t="s">
        <v>123</v>
      </c>
      <c r="C30" s="234" t="s">
        <v>158</v>
      </c>
      <c r="D30" s="235"/>
      <c r="E30" s="235"/>
      <c r="F30" s="235"/>
      <c r="G30" s="243" t="s">
        <v>159</v>
      </c>
      <c r="H30" s="23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44" t="s">
        <v>160</v>
      </c>
      <c r="C31" s="245" t="s">
        <v>161</v>
      </c>
      <c r="D31" s="246"/>
      <c r="E31" s="246"/>
      <c r="F31" s="246"/>
      <c r="G31" s="247"/>
      <c r="H31" s="24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2"/>
      <c r="D32" s="2"/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2"/>
      <c r="D33" s="2"/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5"/>
      <c r="C34" s="2"/>
      <c r="D34" s="2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7"/>
      <c r="C35" s="90"/>
      <c r="D35" s="2"/>
      <c r="E35" s="2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6"/>
      <c r="C36" s="2"/>
      <c r="D36" s="2"/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2"/>
      <c r="D37" s="2"/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90"/>
      <c r="D38" s="2"/>
      <c r="E38" s="2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2"/>
      <c r="D39" s="2"/>
      <c r="E39" s="2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2"/>
      <c r="D41" s="2"/>
      <c r="E41" s="2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2"/>
      <c r="D42" s="2"/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2"/>
      <c r="D43" s="2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2"/>
      <c r="D44" s="2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2"/>
      <c r="D45" s="2"/>
      <c r="E45" s="2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2"/>
      <c r="D46" s="2"/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2"/>
      <c r="D47" s="2"/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2"/>
      <c r="D48" s="2"/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2"/>
      <c r="D49" s="2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2"/>
      <c r="D50" s="2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2"/>
      <c r="D51" s="2"/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2"/>
      <c r="D52" s="2"/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2"/>
      <c r="D53" s="2"/>
      <c r="E53" s="2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2"/>
      <c r="D54" s="2"/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2"/>
      <c r="D55" s="2"/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2"/>
      <c r="D56" s="2"/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2"/>
      <c r="D57" s="2"/>
      <c r="E57" s="2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2"/>
      <c r="D58" s="2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2"/>
      <c r="D59" s="2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2"/>
      <c r="D60" s="2"/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2"/>
      <c r="D61" s="2"/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2"/>
      <c r="D62" s="2"/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2"/>
      <c r="D63" s="2"/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2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2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2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2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2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2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2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2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2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2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2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2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2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2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2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2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2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2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2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2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2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2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2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2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2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2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2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2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2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2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2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2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2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2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2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2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2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2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2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2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2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2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2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2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2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2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2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2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2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2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2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2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2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2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2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2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2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2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2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2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2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2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2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2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2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2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2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2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2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2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2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2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2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2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2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2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2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2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2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2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2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2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2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2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2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2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2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2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2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2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2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2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2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2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2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2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2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2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2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2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2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2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2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2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2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2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2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2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2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2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2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2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2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2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2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2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2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2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2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2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2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2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2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2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2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2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2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2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2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2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2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2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2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2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2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2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2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2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2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2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2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2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2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2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2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2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2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2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2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2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2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2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2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2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2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2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2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2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2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2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2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2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2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2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2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2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2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2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2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2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2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2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2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2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2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2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2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2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2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2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2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2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2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2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2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2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2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2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2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60"/>
  <sheetViews>
    <sheetView topLeftCell="A4" workbookViewId="0">
      <selection activeCell="B37" sqref="B37"/>
    </sheetView>
  </sheetViews>
  <sheetFormatPr defaultColWidth="14.33203125" defaultRowHeight="15" customHeight="1"/>
  <cols>
    <col min="1" max="1" width="5.1640625" customWidth="1"/>
    <col min="2" max="2" width="34" customWidth="1"/>
    <col min="3" max="3" width="20.1640625" customWidth="1"/>
    <col min="4" max="5" width="12.33203125" customWidth="1"/>
    <col min="6" max="6" width="9.1640625" customWidth="1"/>
    <col min="7" max="11" width="8" customWidth="1"/>
    <col min="12" max="12" width="48.83203125" customWidth="1"/>
    <col min="13" max="13" width="12.1640625" customWidth="1"/>
    <col min="14" max="29" width="8" customWidth="1"/>
  </cols>
  <sheetData>
    <row r="1" spans="1:29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0" customHeight="1">
      <c r="A2" s="1"/>
      <c r="B2" s="1"/>
      <c r="C2" s="4" t="s">
        <v>86</v>
      </c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2.75" customHeight="1">
      <c r="A3" s="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2.75" customHeight="1">
      <c r="A4" s="5" t="s">
        <v>128</v>
      </c>
      <c r="B4" s="1"/>
      <c r="C4" s="1"/>
      <c r="D4" s="92"/>
      <c r="E4" s="9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2.75" customHeight="1">
      <c r="A5" s="8" t="s">
        <v>129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2.75" customHeight="1">
      <c r="A6" s="93" t="s">
        <v>6</v>
      </c>
      <c r="B6" s="94" t="s">
        <v>130</v>
      </c>
      <c r="C6" s="95" t="s">
        <v>131</v>
      </c>
      <c r="D6" s="155" t="s">
        <v>125</v>
      </c>
      <c r="E6" s="145"/>
      <c r="F6" s="145"/>
      <c r="G6" s="145"/>
      <c r="H6" s="145"/>
      <c r="I6" s="145"/>
      <c r="J6" s="14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>
      <c r="A7" s="96">
        <f t="shared" ref="A7:A16" si="0">ROW()-6</f>
        <v>1</v>
      </c>
      <c r="B7" s="97" t="s">
        <v>162</v>
      </c>
      <c r="C7" s="98" t="s">
        <v>12</v>
      </c>
      <c r="D7" s="218" t="s">
        <v>132</v>
      </c>
      <c r="E7" s="158"/>
      <c r="F7" s="158"/>
      <c r="G7" s="158"/>
      <c r="H7" s="158"/>
      <c r="I7" s="158"/>
      <c r="J7" s="2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>
      <c r="A8" s="96">
        <f t="shared" si="0"/>
        <v>2</v>
      </c>
      <c r="B8" s="99" t="s">
        <v>163</v>
      </c>
      <c r="C8" s="100" t="s">
        <v>133</v>
      </c>
      <c r="D8" s="218" t="s">
        <v>132</v>
      </c>
      <c r="E8" s="158"/>
      <c r="F8" s="158"/>
      <c r="G8" s="158"/>
      <c r="H8" s="158"/>
      <c r="I8" s="158"/>
      <c r="J8" s="21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>
      <c r="A9" s="96">
        <f t="shared" si="0"/>
        <v>3</v>
      </c>
      <c r="B9" s="84" t="s">
        <v>164</v>
      </c>
      <c r="C9" s="100" t="s">
        <v>133</v>
      </c>
      <c r="D9" s="218" t="s">
        <v>132</v>
      </c>
      <c r="E9" s="158"/>
      <c r="F9" s="158"/>
      <c r="G9" s="158"/>
      <c r="H9" s="158"/>
      <c r="I9" s="158"/>
      <c r="J9" s="21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customHeight="1">
      <c r="A10" s="96">
        <f t="shared" si="0"/>
        <v>4</v>
      </c>
      <c r="B10" s="84" t="s">
        <v>165</v>
      </c>
      <c r="C10" s="100" t="s">
        <v>133</v>
      </c>
      <c r="D10" s="218" t="s">
        <v>132</v>
      </c>
      <c r="E10" s="158"/>
      <c r="F10" s="158"/>
      <c r="G10" s="158"/>
      <c r="H10" s="158"/>
      <c r="I10" s="158"/>
      <c r="J10" s="21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2.75" customHeight="1">
      <c r="A11" s="96">
        <f t="shared" si="0"/>
        <v>5</v>
      </c>
      <c r="B11" s="103" t="s">
        <v>166</v>
      </c>
      <c r="C11" s="100" t="s">
        <v>133</v>
      </c>
      <c r="D11" s="218" t="s">
        <v>132</v>
      </c>
      <c r="E11" s="158"/>
      <c r="F11" s="158"/>
      <c r="G11" s="158"/>
      <c r="H11" s="158"/>
      <c r="I11" s="158"/>
      <c r="J11" s="21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2.75" customHeight="1">
      <c r="A12" s="96">
        <f t="shared" si="0"/>
        <v>6</v>
      </c>
      <c r="B12" s="84"/>
      <c r="C12" s="100"/>
      <c r="D12" s="214"/>
      <c r="E12" s="158"/>
      <c r="F12" s="158"/>
      <c r="G12" s="158"/>
      <c r="H12" s="158"/>
      <c r="I12" s="158"/>
      <c r="J12" s="21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2.75" customHeight="1">
      <c r="A13" s="96">
        <f t="shared" si="0"/>
        <v>7</v>
      </c>
      <c r="B13" s="103"/>
      <c r="C13" s="100"/>
      <c r="D13" s="214"/>
      <c r="E13" s="158"/>
      <c r="F13" s="158"/>
      <c r="G13" s="158"/>
      <c r="H13" s="158"/>
      <c r="I13" s="158"/>
      <c r="J13" s="21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2.75" customHeight="1">
      <c r="A14" s="96">
        <f t="shared" si="0"/>
        <v>8</v>
      </c>
      <c r="B14" s="103"/>
      <c r="C14" s="100"/>
      <c r="D14" s="214"/>
      <c r="E14" s="158"/>
      <c r="F14" s="158"/>
      <c r="G14" s="158"/>
      <c r="H14" s="158"/>
      <c r="I14" s="158"/>
      <c r="J14" s="21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customHeight="1">
      <c r="A15" s="96">
        <f t="shared" si="0"/>
        <v>9</v>
      </c>
      <c r="B15" s="103"/>
      <c r="C15" s="105"/>
      <c r="D15" s="214"/>
      <c r="E15" s="158"/>
      <c r="F15" s="158"/>
      <c r="G15" s="158"/>
      <c r="H15" s="158"/>
      <c r="I15" s="158"/>
      <c r="J15" s="21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customHeight="1">
      <c r="A16" s="106">
        <f t="shared" si="0"/>
        <v>10</v>
      </c>
      <c r="B16" s="108"/>
      <c r="C16" s="110"/>
      <c r="D16" s="216"/>
      <c r="E16" s="217"/>
      <c r="F16" s="217"/>
      <c r="G16" s="217"/>
      <c r="H16" s="217"/>
      <c r="I16" s="217"/>
      <c r="J16" s="2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customHeight="1">
      <c r="A17" s="32"/>
      <c r="B17" s="111"/>
      <c r="C17" s="112"/>
      <c r="D17" s="114"/>
      <c r="E17" s="11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customHeight="1">
      <c r="A18" s="5" t="s">
        <v>86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>
      <c r="A19" s="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customHeight="1">
      <c r="A20" s="66" t="s">
        <v>6</v>
      </c>
      <c r="B20" s="66" t="s">
        <v>124</v>
      </c>
      <c r="C20" s="12" t="s">
        <v>96</v>
      </c>
      <c r="D20" s="155" t="s">
        <v>97</v>
      </c>
      <c r="E20" s="14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" customHeight="1">
      <c r="A21" s="55">
        <v>1</v>
      </c>
      <c r="B21" s="116" t="s">
        <v>11</v>
      </c>
      <c r="C21" s="117" t="s">
        <v>148</v>
      </c>
      <c r="D21" s="249" t="s">
        <v>147</v>
      </c>
      <c r="E21" s="250"/>
      <c r="F21" s="1"/>
      <c r="G21" s="1"/>
      <c r="H21" s="1"/>
      <c r="I21" s="1"/>
      <c r="J21" s="1"/>
      <c r="K21" s="1"/>
      <c r="L21" s="1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customHeight="1">
      <c r="A22" s="58">
        <v>2</v>
      </c>
      <c r="B22" s="119" t="s">
        <v>13</v>
      </c>
      <c r="C22" s="120" t="s">
        <v>147</v>
      </c>
      <c r="D22" s="249" t="s">
        <v>147</v>
      </c>
      <c r="E22" s="25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customHeight="1">
      <c r="A23" s="58">
        <v>3</v>
      </c>
      <c r="B23" s="119" t="s">
        <v>126</v>
      </c>
      <c r="C23" s="120" t="s">
        <v>148</v>
      </c>
      <c r="D23" s="249" t="s">
        <v>147</v>
      </c>
      <c r="E23" s="250"/>
      <c r="F23" s="1"/>
      <c r="G23" s="1"/>
      <c r="H23" s="1"/>
      <c r="I23" s="1"/>
      <c r="J23" s="1"/>
      <c r="K23" s="1"/>
      <c r="L23" s="11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customHeight="1">
      <c r="A24" s="121">
        <v>4</v>
      </c>
      <c r="B24" s="122" t="s">
        <v>137</v>
      </c>
      <c r="C24" s="120" t="s">
        <v>147</v>
      </c>
      <c r="D24" s="249" t="s">
        <v>147</v>
      </c>
      <c r="E24" s="25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customHeight="1">
      <c r="A25" s="123">
        <v>5</v>
      </c>
      <c r="B25" s="124" t="s">
        <v>127</v>
      </c>
      <c r="C25" s="120" t="s">
        <v>147</v>
      </c>
      <c r="D25" s="249" t="s">
        <v>147</v>
      </c>
      <c r="E25" s="25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>
      <c r="A26" s="125">
        <v>6</v>
      </c>
      <c r="B26" s="126" t="s">
        <v>138</v>
      </c>
      <c r="C26" s="120" t="s">
        <v>147</v>
      </c>
      <c r="D26" s="249" t="s">
        <v>147</v>
      </c>
      <c r="E26" s="25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customHeight="1">
      <c r="A28" s="127"/>
      <c r="B28" s="66" t="s">
        <v>139</v>
      </c>
      <c r="C28" s="128" t="s">
        <v>140</v>
      </c>
      <c r="D28" s="12" t="s">
        <v>141</v>
      </c>
      <c r="E28" s="1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>
      <c r="A29" s="1"/>
      <c r="B29" s="89" t="s">
        <v>11</v>
      </c>
      <c r="C29" s="91" t="e">
        <f>INT(C21)-INT($C$21)</f>
        <v>#VALUE!</v>
      </c>
      <c r="D29" s="91" t="e">
        <f t="shared" ref="D29:D33" si="1">(INT(D21)-INT($C$21))-(INT(C21)-INT($C$21))</f>
        <v>#VALUE!</v>
      </c>
      <c r="E29" s="1"/>
      <c r="F29" s="1"/>
      <c r="G29" s="1"/>
      <c r="H29" s="1"/>
      <c r="I29" s="1"/>
      <c r="J29" s="1"/>
      <c r="K29" s="1"/>
      <c r="L29" s="1"/>
      <c r="M29" s="13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customHeight="1">
      <c r="A30" s="1"/>
      <c r="B30" s="89" t="s">
        <v>13</v>
      </c>
      <c r="C30" s="91" t="e">
        <f>INT(C22)-INT($C$21)-1</f>
        <v>#VALUE!</v>
      </c>
      <c r="D30" s="91" t="e">
        <f t="shared" si="1"/>
        <v>#VALUE!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>
      <c r="A31" s="1"/>
      <c r="B31" s="89" t="s">
        <v>126</v>
      </c>
      <c r="C31" s="91" t="e">
        <f>INT(C23)-INT($C$21)-2</f>
        <v>#VALUE!</v>
      </c>
      <c r="D31" s="91" t="e">
        <f t="shared" si="1"/>
        <v>#VALUE!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>
      <c r="A32" s="1"/>
      <c r="B32" s="131" t="s">
        <v>137</v>
      </c>
      <c r="C32" s="91" t="e">
        <f>INT(C24)-INT($C$21)-3</f>
        <v>#VALUE!</v>
      </c>
      <c r="D32" s="91" t="e">
        <f t="shared" si="1"/>
        <v>#VALUE!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>
      <c r="A33" s="1"/>
      <c r="B33" s="89" t="s">
        <v>127</v>
      </c>
      <c r="C33" s="91" t="e">
        <f>INT(C25)-INT($C$21)-4</f>
        <v>#VALUE!</v>
      </c>
      <c r="D33" s="91" t="e">
        <f t="shared" si="1"/>
        <v>#VALUE!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>
      <c r="A34" s="1"/>
      <c r="B34" s="131" t="s">
        <v>138</v>
      </c>
      <c r="C34" s="91" t="e">
        <f>INT(C26)-INT($C$21)-5</f>
        <v>#VALUE!</v>
      </c>
      <c r="D34" s="91" t="e">
        <f>(INT(D26)-INT($C$21))-(INT(C26)-INT($C$21))+1</f>
        <v>#VALUE!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customHeight="1">
      <c r="A36" s="5" t="s">
        <v>142</v>
      </c>
      <c r="B36" s="5"/>
      <c r="C36" s="1"/>
      <c r="D36" s="1"/>
      <c r="E36" s="1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>
      <c r="A37" s="1"/>
      <c r="B37" s="132" t="s">
        <v>143</v>
      </c>
      <c r="C37" s="1"/>
      <c r="D37" s="13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</sheetData>
  <mergeCells count="18">
    <mergeCell ref="D6:J6"/>
    <mergeCell ref="D7:J7"/>
    <mergeCell ref="D8:J8"/>
    <mergeCell ref="D9:J9"/>
    <mergeCell ref="D10:J10"/>
    <mergeCell ref="D11:J11"/>
    <mergeCell ref="D12:J12"/>
    <mergeCell ref="D23:E23"/>
    <mergeCell ref="D24:E24"/>
    <mergeCell ref="D25:E25"/>
    <mergeCell ref="D26:E26"/>
    <mergeCell ref="D13:J13"/>
    <mergeCell ref="D14:J14"/>
    <mergeCell ref="D15:J15"/>
    <mergeCell ref="D16:J16"/>
    <mergeCell ref="D20:E20"/>
    <mergeCell ref="D21:E21"/>
    <mergeCell ref="D22:E22"/>
  </mergeCells>
  <phoneticPr fontId="37" type="noConversion"/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33203125" defaultRowHeight="15" customHeight="1"/>
  <cols>
    <col min="1" max="1" width="6.1640625" customWidth="1"/>
    <col min="2" max="2" width="5" customWidth="1"/>
    <col min="3" max="3" width="34.1640625" customWidth="1"/>
    <col min="4" max="4" width="75.1640625" customWidth="1"/>
    <col min="5" max="5" width="16.1640625" customWidth="1"/>
    <col min="6" max="6" width="14.1640625" customWidth="1"/>
    <col min="7" max="26" width="8" customWidth="1"/>
  </cols>
  <sheetData>
    <row r="1" spans="1:26" ht="12.7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26.25" customHeight="1">
      <c r="A2" s="71"/>
      <c r="B2" s="71"/>
      <c r="C2" s="71"/>
      <c r="D2" s="101" t="s">
        <v>88</v>
      </c>
      <c r="E2" s="10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2.75" customHeight="1">
      <c r="A3" s="71"/>
      <c r="B3" s="104"/>
      <c r="C3" s="104"/>
      <c r="D3" s="104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2.75" customHeight="1">
      <c r="A4" s="71"/>
      <c r="B4" s="5" t="s">
        <v>134</v>
      </c>
      <c r="C4" s="5"/>
      <c r="D4" s="10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6.5" customHeight="1">
      <c r="A5" s="71"/>
      <c r="B5" s="107" t="s">
        <v>6</v>
      </c>
      <c r="C5" s="107" t="s">
        <v>135</v>
      </c>
      <c r="D5" s="109" t="s">
        <v>136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4.25" customHeight="1">
      <c r="A6" s="71"/>
      <c r="B6" s="113">
        <v>1</v>
      </c>
      <c r="C6" s="113"/>
      <c r="D6" s="18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4.25" customHeight="1">
      <c r="A7" s="71"/>
      <c r="B7" s="115">
        <v>2</v>
      </c>
      <c r="C7" s="115"/>
      <c r="D7" s="24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4.25" customHeight="1">
      <c r="A8" s="71"/>
      <c r="B8" s="115">
        <v>3</v>
      </c>
      <c r="C8" s="115"/>
      <c r="D8" s="24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4.25" customHeight="1">
      <c r="A9" s="71"/>
      <c r="B9" s="115">
        <v>4</v>
      </c>
      <c r="C9" s="115"/>
      <c r="D9" s="24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4.25" customHeight="1">
      <c r="A10" s="71"/>
      <c r="B10" s="115">
        <v>5</v>
      </c>
      <c r="C10" s="115"/>
      <c r="D10" s="24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4.25" customHeight="1">
      <c r="A11" s="71"/>
      <c r="B11" s="115">
        <v>6</v>
      </c>
      <c r="C11" s="115"/>
      <c r="D11" s="24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4.25" customHeight="1">
      <c r="A12" s="71"/>
      <c r="B12" s="115">
        <v>7</v>
      </c>
      <c r="C12" s="115"/>
      <c r="D12" s="24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4.25" customHeight="1">
      <c r="A13" s="71"/>
      <c r="B13" s="115">
        <v>8</v>
      </c>
      <c r="C13" s="115"/>
      <c r="D13" s="24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4.25" customHeight="1">
      <c r="A14" s="71"/>
      <c r="B14" s="115">
        <v>9</v>
      </c>
      <c r="C14" s="115"/>
      <c r="D14" s="24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4.25" customHeight="1">
      <c r="A15" s="71"/>
      <c r="B15" s="115">
        <v>10</v>
      </c>
      <c r="C15" s="115"/>
      <c r="D15" s="24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4.25" customHeight="1">
      <c r="A16" s="71"/>
      <c r="B16" s="115">
        <v>11</v>
      </c>
      <c r="C16" s="115"/>
      <c r="D16" s="24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4.25" customHeight="1">
      <c r="A17" s="71"/>
      <c r="B17" s="115">
        <v>12</v>
      </c>
      <c r="C17" s="115"/>
      <c r="D17" s="24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4.25" customHeight="1">
      <c r="A18" s="71"/>
      <c r="B18" s="115">
        <v>13</v>
      </c>
      <c r="C18" s="115"/>
      <c r="D18" s="24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4.25" customHeight="1">
      <c r="A19" s="71"/>
      <c r="B19" s="115">
        <v>14</v>
      </c>
      <c r="C19" s="115"/>
      <c r="D19" s="24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4.25" customHeight="1">
      <c r="A20" s="71"/>
      <c r="B20" s="115">
        <v>15</v>
      </c>
      <c r="C20" s="115"/>
      <c r="D20" s="24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4.25" customHeight="1">
      <c r="A21" s="71"/>
      <c r="B21" s="115">
        <v>17</v>
      </c>
      <c r="C21" s="115"/>
      <c r="D21" s="24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2.75" customHeight="1">
      <c r="A22" s="71"/>
      <c r="B22" s="134"/>
      <c r="C22" s="135"/>
      <c r="D22" s="136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2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2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2.75" customHeight="1">
      <c r="A25" s="71"/>
      <c r="B25" s="5" t="s">
        <v>144</v>
      </c>
      <c r="C25" s="5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2.75" customHeight="1">
      <c r="A26" s="71"/>
      <c r="B26" s="109" t="s">
        <v>6</v>
      </c>
      <c r="C26" s="109"/>
      <c r="D26" s="109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2.75" customHeight="1">
      <c r="A27" s="71"/>
      <c r="B27" s="137">
        <v>1</v>
      </c>
      <c r="C27" s="115"/>
      <c r="D27" s="24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2.75" customHeight="1">
      <c r="A28" s="71"/>
      <c r="B28" s="137">
        <v>1</v>
      </c>
      <c r="C28" s="115"/>
      <c r="D28" s="24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69.75" customHeight="1">
      <c r="A29" s="71"/>
      <c r="B29" s="137">
        <v>2</v>
      </c>
      <c r="C29" s="115"/>
      <c r="D29" s="24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45.75" customHeight="1">
      <c r="A30" s="71"/>
      <c r="B30" s="137">
        <v>3</v>
      </c>
      <c r="C30" s="115"/>
      <c r="D30" s="24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2.75" customHeight="1">
      <c r="A31" s="71"/>
      <c r="B31" s="137">
        <v>4</v>
      </c>
      <c r="C31" s="115"/>
      <c r="D31" s="24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2.75" customHeight="1">
      <c r="A32" s="71"/>
      <c r="B32" s="138"/>
      <c r="C32" s="139"/>
      <c r="D32" s="140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2.75" customHeight="1">
      <c r="A33" s="71"/>
      <c r="B33" s="141" t="s">
        <v>6</v>
      </c>
      <c r="C33" s="141"/>
      <c r="D33" s="109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2.75" customHeight="1">
      <c r="A34" s="71"/>
      <c r="B34" s="137">
        <v>4</v>
      </c>
      <c r="C34" s="84"/>
      <c r="D34" s="24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2.75" customHeight="1">
      <c r="A35" s="71"/>
      <c r="B35" s="137">
        <v>5</v>
      </c>
      <c r="C35" s="84"/>
      <c r="D35" s="24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2.75" customHeight="1">
      <c r="A36" s="71"/>
      <c r="B36" s="137">
        <v>6</v>
      </c>
      <c r="C36" s="84"/>
      <c r="D36" s="24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2.75" customHeight="1">
      <c r="A37" s="71"/>
      <c r="B37" s="137">
        <v>7</v>
      </c>
      <c r="C37" s="84"/>
      <c r="D37" s="24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2.75" customHeight="1">
      <c r="A38" s="71"/>
      <c r="B38" s="137">
        <v>8</v>
      </c>
      <c r="C38" s="84"/>
      <c r="D38" s="24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2.75" customHeight="1">
      <c r="A39" s="71"/>
      <c r="B39" s="137">
        <v>9</v>
      </c>
      <c r="C39" s="84"/>
      <c r="D39" s="24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2.75" customHeight="1">
      <c r="A40" s="71"/>
      <c r="B40" s="137">
        <v>10</v>
      </c>
      <c r="C40" s="84"/>
      <c r="D40" s="24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2.75" customHeight="1">
      <c r="A41" s="71"/>
      <c r="B41" s="137">
        <v>11</v>
      </c>
      <c r="C41" s="84"/>
      <c r="D41" s="2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2.75" customHeight="1">
      <c r="A42" s="71"/>
      <c r="B42" s="137">
        <v>12</v>
      </c>
      <c r="C42" s="84"/>
      <c r="D42" s="24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2.75" customHeight="1">
      <c r="A43" s="71"/>
      <c r="B43" s="137">
        <v>13</v>
      </c>
      <c r="C43" s="84"/>
      <c r="D43" s="142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2.75" customHeight="1">
      <c r="A44" s="71"/>
      <c r="B44" s="137">
        <v>14</v>
      </c>
      <c r="C44" s="84"/>
      <c r="D44" s="24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>
      <c r="A45" s="71"/>
      <c r="B45" s="143"/>
      <c r="C45" s="144"/>
      <c r="D45" s="140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2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2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2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2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2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2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2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2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2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2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2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2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2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2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2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2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2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2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2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2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2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2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2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2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2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2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2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2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2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2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2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2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2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2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2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2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2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2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2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2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2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2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2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2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2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2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2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2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2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2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2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2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2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2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2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2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2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2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2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2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2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2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2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2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2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2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2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2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2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2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2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2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2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2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2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2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2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2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2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2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2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2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2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2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2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Policy</vt:lpstr>
      <vt:lpstr>Test Management</vt:lpstr>
      <vt:lpstr>Test Strategy</vt:lpstr>
      <vt:lpstr>Master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Quan</dc:creator>
  <cp:lastModifiedBy>quan pham</cp:lastModifiedBy>
  <dcterms:created xsi:type="dcterms:W3CDTF">2024-11-01T12:30:27Z</dcterms:created>
  <dcterms:modified xsi:type="dcterms:W3CDTF">2024-11-01T12:30:45Z</dcterms:modified>
</cp:coreProperties>
</file>