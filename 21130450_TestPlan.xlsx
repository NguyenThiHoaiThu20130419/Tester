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0" authorId="0">
      <text>
        <r>
          <rPr>
            <sz val="10"/>
            <rFont val="SimSun"/>
            <charset val="134"/>
          </rPr>
          <t>======
ID#AAAAHNbKGmo
    (2020-11-08 05:44:12)
- A: Added
- D: Deleted
- M: Modified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32" authorId="0">
      <text>
        <r>
          <rPr>
            <sz val="10"/>
            <rFont val="SimSun"/>
            <charset val="134"/>
          </rPr>
          <t>======
ID#AAAAHNbKGmc
    (2020-11-08 05:44:12)
steps keep a risk from occurring or driving its impact to an acceptance level</t>
        </r>
      </text>
    </comment>
    <comment ref="G32" authorId="0">
      <text>
        <r>
          <rPr>
            <sz val="10"/>
            <rFont val="SimSun"/>
            <charset val="134"/>
          </rPr>
          <t>======
ID#AAAAHNbKGmk
    (2020-11-08 05:44:12)
steps would have to be done if the risk were to become reality</t>
        </r>
      </text>
    </comment>
    <comment ref="B41" authorId="0">
      <text>
        <r>
          <rPr>
            <sz val="10"/>
            <rFont val="SimSun"/>
            <charset val="134"/>
          </rPr>
          <t>======
ID#AAAAHNbKGmY
It can be    (2020-11-08 05:44:12)
- Requirement
- Test Products
- Test environment
- Test tools
...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10" authorId="0">
      <text>
        <r>
          <rPr>
            <sz val="10"/>
            <rFont val="SimSun"/>
            <charset val="134"/>
          </rPr>
          <t>======
ID#AAAAHNbKGmg
    (2020-11-08 05:44:12)
- manual
- test tool
…</t>
        </r>
      </text>
    </comment>
  </commentList>
</comments>
</file>

<file path=xl/sharedStrings.xml><?xml version="1.0" encoding="utf-8"?>
<sst xmlns="http://schemas.openxmlformats.org/spreadsheetml/2006/main" count="372" uniqueCount="230">
  <si>
    <t>TEST PLAN</t>
  </si>
  <si>
    <t>Project Name</t>
  </si>
  <si>
    <t>Sendo</t>
  </si>
  <si>
    <t>Reviewer</t>
  </si>
  <si>
    <t>NguyenThiHoaiThu</t>
  </si>
  <si>
    <t>Project Code</t>
  </si>
  <si>
    <t>SD10</t>
  </si>
  <si>
    <t>Review date</t>
  </si>
  <si>
    <t>26/10/2024</t>
  </si>
  <si>
    <t>Creator</t>
  </si>
  <si>
    <t>Trần Hoài Nam</t>
  </si>
  <si>
    <t>Approver</t>
  </si>
  <si>
    <t>BTT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</si>
  <si>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</si>
  <si>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</si>
  <si>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</si>
  <si>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</si>
  <si>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</si>
  <si>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</si>
  <si>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</si>
  <si>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</si>
  <si>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</si>
  <si>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</si>
  <si>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</si>
  <si>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</si>
  <si>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</si>
  <si>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</si>
  <si>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</si>
  <si>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</si>
  <si>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</si>
  <si>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</si>
  <si>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</si>
  <si>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</si>
  <si>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</si>
  <si>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</si>
  <si>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</si>
  <si>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</si>
  <si>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</si>
  <si>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</si>
  <si>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</si>
  <si>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</si>
  <si>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ProlTM_ScreenDesign_v0.5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</si>
  <si>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</si>
  <si>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</si>
  <si>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</si>
  <si>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</si>
  <si>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</si>
  <si>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</si>
  <si>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</si>
  <si>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</si>
  <si>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</si>
  <si>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</si>
  <si>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</si>
  <si>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</si>
  <si>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</si>
  <si>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</si>
  <si>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</si>
  <si>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</si>
  <si>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</si>
  <si>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</si>
  <si>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</si>
  <si>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</si>
  <si>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</si>
  <si>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</si>
  <si>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</si>
  <si>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</si>
  <si>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</si>
  <si>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</si>
  <si>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</si>
  <si>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</si>
  <si>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</si>
  <si>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</si>
  <si>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</si>
  <si>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</si>
  <si>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</si>
  <si>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</si>
  <si>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</si>
  <si>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</si>
  <si>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</si>
  <si>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</si>
  <si>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</si>
  <si>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</si>
  <si>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</si>
  <si>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</si>
  <si>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</si>
  <si>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</si>
  <si>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</si>
  <si>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</si>
  <si>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</si>
  <si>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</si>
  <si>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</si>
  <si>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</si>
  <si>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</si>
  <si>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</si>
  <si>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</si>
  <si>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</si>
  <si>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</si>
  <si>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</si>
  <si>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</si>
  <si>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</si>
  <si>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</si>
  <si>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</si>
  <si>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</si>
  <si>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</si>
  <si>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</si>
  <si>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</si>
  <si>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</si>
  <si>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</si>
  <si>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</si>
  <si>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</si>
  <si>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</si>
  <si>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</si>
  <si>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</si>
  <si>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</si>
  <si>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</si>
  <si>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</si>
  <si>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</si>
  <si>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</si>
  <si>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</si>
  <si>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</si>
  <si>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</si>
  <si>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</si>
  <si>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</si>
  <si>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</si>
  <si>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</si>
  <si>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</si>
  <si>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</si>
  <si>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</si>
  <si>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</si>
  <si>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</si>
  <si>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</si>
  <si>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</si>
  <si>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</si>
  <si>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  <charset val="134"/>
      </rPr>
      <t xml:space="preserve">
</t>
    </r>
    <r>
      <rPr>
        <sz val="9"/>
        <color rgb="FF000000"/>
        <rFont val="Arial"/>
        <charset val="134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</si>
  <si>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</si>
  <si>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</si>
  <si>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</si>
  <si>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</si>
  <si>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</si>
  <si>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</si>
  <si>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</si>
  <si>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</si>
  <si>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</si>
  <si>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ProlTM system described in screen design document, the functions are tested in order of priority from high to low (highest priority tested first)</t>
  </si>
  <si>
    <t>ProITM_ScreenDesign_V0.5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</si>
  <si>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</si>
  <si>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</si>
  <si>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</si>
  <si>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</si>
  <si>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</si>
  <si>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</si>
  <si>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</si>
  <si>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</si>
  <si>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</si>
  <si>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</si>
  <si>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</si>
  <si>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</si>
  <si>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</si>
  <si>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</si>
  <si>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</si>
  <si>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</si>
  <si>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</si>
  <si>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</si>
  <si>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</si>
  <si>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</si>
  <si>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</si>
  <si>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</si>
  <si>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 xml:space="preserve">- Read and Analyze Doccument, test design, test case, thực thi các test case, logs bug cho chức năng Danh sách sau quân sự
</t>
  </si>
  <si>
    <t>Nguyễn Thị Hoài Thu</t>
  </si>
  <si>
    <t>Member</t>
  </si>
  <si>
    <t xml:space="preserve">- Read and Analyze Doccument, test design, test case, thực thi các test case, logs bug cho chức năng Danh sách đậu phỏng vấn
</t>
  </si>
  <si>
    <t xml:space="preserve">- Read and Analyze Doccument, test design, test case, thực thi các test case, logs bug cho chức năng Danh sách đang học quân sự
</t>
  </si>
  <si>
    <t>19130285_Phạm Hữu Minh Quân</t>
  </si>
  <si>
    <t xml:space="preserve">- Read and Analyze Doccument, test design, test case, thực thi các test case, logs bug cho chức năng Danh sách học viên
</t>
  </si>
  <si>
    <t>16130636_Nguyễn Quang Trường</t>
  </si>
  <si>
    <t xml:space="preserve">- Read and Analyze Doccument, test design, test case, thực thi các test case, logs bug cho chức năng Kế toán -&gt; Phí quản lí -&gt; DS invocie
</t>
  </si>
  <si>
    <t>Nguyễn Ngọc Minh Thư</t>
  </si>
  <si>
    <t xml:space="preserve">- Read and Analyze Doccument, test design, test case, thực thi các test case, logs bug cho chức năng Kế toán -&gt; Phí quản lí -&gt; Phát hành phí quản lí
</t>
  </si>
  <si>
    <t>21130373_Đỗ Quang Huy</t>
  </si>
  <si>
    <t xml:space="preserve">- Read and Analyze Doccument, test design, test case, thực thi các test case, logs bug cho chức năng Kế toán -&gt; Phí đào tạo -&gt; Phát hành phí đào tạo
</t>
  </si>
  <si>
    <t>21130374_Đỗ Quang Huy</t>
  </si>
  <si>
    <t xml:space="preserve">- Read and Analyze Doccument, test design, test case, thực thi các test case, logs bug cho chức năng Kế toán -&gt; Phí đào tạo -&gt; Danh sách invoice
</t>
  </si>
  <si>
    <t>21130450_Trần Hoài Nam</t>
  </si>
  <si>
    <t xml:space="preserve">- Read and Analyze Doccument, test design, test case, thực thi các test case, logs bug cho chức năng Danh mục -&gt; Xí nghiệp
</t>
  </si>
  <si>
    <t xml:space="preserve">-  Read and Analyze Doccument, test design, test case, thực thi các test case, logs bug cho chức năng Danh mục -&gt; Tài khoản ngân hàng
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</si>
  <si>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</si>
  <si>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</si>
  <si>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</si>
  <si>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</si>
  <si>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</si>
  <si>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</si>
  <si>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</si>
  <si>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</si>
  <si>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</si>
  <si>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</si>
  <si>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</si>
  <si>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</si>
  <si>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>Danh sách sau quân sự</t>
  </si>
  <si>
    <t>Danh sách đậu phỏng vấn</t>
  </si>
  <si>
    <t>Thảo Nguyên</t>
  </si>
  <si>
    <t>Danh sách đang học quân sự</t>
  </si>
  <si>
    <t>Danh sách học viên</t>
  </si>
  <si>
    <t>Hữu Nghị</t>
  </si>
  <si>
    <t>Kế toán -&gt; Phí quản lí -&gt; DS invocie</t>
  </si>
  <si>
    <t>Hoài Nam</t>
  </si>
  <si>
    <t>Kế toán -&gt; Phí quản lí -&gt; Phát hành phí quản lí</t>
  </si>
  <si>
    <t>Kế toán -&gt; Phí đào tạo -&gt; Phát hành phí đào tạo</t>
  </si>
  <si>
    <t>Kế toán -&gt; Phí đào tạo -&gt; Danh sách invoice</t>
  </si>
  <si>
    <t>Xí nghiệp</t>
  </si>
  <si>
    <t>Tài khoản ngân hàng</t>
  </si>
  <si>
    <t xml:space="preserve">Review </t>
  </si>
  <si>
    <t>DS sau quân sự</t>
  </si>
  <si>
    <t>Minh Thư</t>
  </si>
  <si>
    <t>Execute test and logs bug</t>
  </si>
  <si>
    <t>Văn Đa</t>
  </si>
  <si>
    <t>Hoàng Vũ</t>
  </si>
  <si>
    <t>Quang Trường</t>
  </si>
  <si>
    <t>Gia Đạt</t>
  </si>
  <si>
    <t>Quang Tuấn</t>
  </si>
  <si>
    <t>Trường Hải</t>
  </si>
  <si>
    <t>Hồ Quyên</t>
  </si>
  <si>
    <t>Thanh Tuấn</t>
  </si>
  <si>
    <t>Term definition</t>
  </si>
  <si>
    <t>Term</t>
  </si>
  <si>
    <t>Definition/explanation</t>
  </si>
  <si>
    <t>Glossary</t>
  </si>
  <si>
    <t>Members</t>
  </si>
  <si>
    <t>19130285 Phạm Hữu Minh Quân</t>
  </si>
  <si>
    <t>20130421 - Nguyễn Ngọc Minh Thư</t>
  </si>
  <si>
    <t>Đỗ Quang Huy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</si>
</sst>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"/>
    <numFmt numFmtId="179" formatCode="d\.m"/>
    <numFmt numFmtId="180" formatCode="d/m/yyyy"/>
  </numFmts>
  <fonts count="60">
    <font>
      <sz val="9"/>
      <color rgb="FF000000"/>
      <name val="Calibri"/>
      <charset val="134"/>
      <scheme val="minor"/>
    </font>
    <font>
      <sz val="10"/>
      <color theme="1"/>
      <name val="Tahoma"/>
      <charset val="134"/>
    </font>
    <font>
      <b/>
      <sz val="20"/>
      <color rgb="FF000080"/>
      <name val="Arial"/>
      <charset val="134"/>
    </font>
    <font>
      <b/>
      <sz val="20"/>
      <color rgb="FF000000"/>
      <name val="Tahoma"/>
      <charset val="134"/>
    </font>
    <font>
      <b/>
      <u/>
      <sz val="10"/>
      <color rgb="FF000080"/>
      <name val="Tahoma"/>
      <charset val="134"/>
    </font>
    <font>
      <b/>
      <sz val="10"/>
      <color theme="1"/>
      <name val="Tahoma"/>
      <charset val="134"/>
    </font>
    <font>
      <sz val="10"/>
      <color theme="1"/>
      <name val="Arial"/>
      <charset val="134"/>
    </font>
    <font>
      <sz val="8"/>
      <color theme="1"/>
      <name val="Tahoma"/>
      <charset val="134"/>
    </font>
    <font>
      <sz val="9"/>
      <color theme="1"/>
      <name val="Tahoma"/>
      <charset val="134"/>
    </font>
    <font>
      <sz val="9"/>
      <color theme="1"/>
      <name val="Arial"/>
      <charset val="134"/>
    </font>
    <font>
      <b/>
      <sz val="10"/>
      <color theme="1"/>
      <name val="Arial"/>
      <charset val="134"/>
    </font>
    <font>
      <b/>
      <sz val="9"/>
      <color theme="1"/>
      <name val="Arial"/>
      <charset val="134"/>
    </font>
    <font>
      <sz val="9"/>
      <name val="Calibri"/>
      <charset val="134"/>
      <scheme val="minor"/>
    </font>
    <font>
      <i/>
      <sz val="10"/>
      <color theme="1"/>
      <name val="Arial"/>
      <charset val="134"/>
    </font>
    <font>
      <sz val="9"/>
      <color rgb="FF000000"/>
      <name val="Arial"/>
      <charset val="134"/>
    </font>
    <font>
      <sz val="10"/>
      <color rgb="FFFF0000"/>
      <name val="Arial"/>
      <charset val="134"/>
    </font>
    <font>
      <b/>
      <sz val="10"/>
      <color rgb="FFFF6600"/>
      <name val="Tahoma"/>
      <charset val="134"/>
    </font>
    <font>
      <b/>
      <sz val="18"/>
      <color theme="1"/>
      <name val="Arial"/>
      <charset val="134"/>
    </font>
    <font>
      <u/>
      <sz val="10"/>
      <color rgb="FF0000FF"/>
      <name val="Arial"/>
      <charset val="134"/>
    </font>
    <font>
      <sz val="11"/>
      <color rgb="FF000000"/>
      <name val="Inconsolata"/>
      <charset val="134"/>
    </font>
    <font>
      <sz val="12"/>
      <color rgb="FF000000"/>
      <name val="Menlo"/>
      <charset val="134"/>
    </font>
    <font>
      <sz val="10"/>
      <color rgb="FF000000"/>
      <name val="Arial"/>
      <charset val="134"/>
    </font>
    <font>
      <sz val="10"/>
      <color rgb="FF000000"/>
      <name val="-apple-system"/>
      <charset val="134"/>
    </font>
    <font>
      <sz val="11"/>
      <color rgb="FF242729"/>
      <name val="Arial"/>
      <charset val="134"/>
    </font>
    <font>
      <b/>
      <sz val="9"/>
      <color rgb="FFFFFFFF"/>
      <name val="MS PGothic"/>
      <charset val="134"/>
    </font>
    <font>
      <u/>
      <sz val="10"/>
      <color rgb="FF0000FF"/>
      <name val="Tahoma"/>
      <charset val="134"/>
    </font>
    <font>
      <sz val="10"/>
      <color theme="1"/>
      <name val="MS PGothic"/>
      <charset val="134"/>
    </font>
    <font>
      <sz val="10"/>
      <color rgb="FF000000"/>
      <name val="Monospace"/>
      <charset val="134"/>
    </font>
    <font>
      <sz val="10"/>
      <color rgb="FF660066"/>
      <name val="Arial"/>
      <charset val="134"/>
    </font>
    <font>
      <i/>
      <sz val="10"/>
      <color theme="1"/>
      <name val="Tahoma"/>
      <charset val="134"/>
    </font>
    <font>
      <b/>
      <u/>
      <sz val="10"/>
      <color rgb="FFFF6600"/>
      <name val="Tahoma"/>
      <charset val="134"/>
    </font>
    <font>
      <sz val="8"/>
      <color theme="1"/>
      <name val="Arial"/>
      <charset val="134"/>
    </font>
    <font>
      <sz val="10"/>
      <color rgb="FF0000FF"/>
      <name val="Arial"/>
      <charset val="134"/>
    </font>
    <font>
      <b/>
      <sz val="22"/>
      <color rgb="FFFF0000"/>
      <name val="Tahoma"/>
      <charset val="134"/>
    </font>
    <font>
      <b/>
      <sz val="26"/>
      <color rgb="FFFF0000"/>
      <name val="Tahoma"/>
      <charset val="134"/>
    </font>
    <font>
      <b/>
      <sz val="20"/>
      <color theme="1"/>
      <name val="Tahoma"/>
      <charset val="134"/>
    </font>
    <font>
      <b/>
      <sz val="9"/>
      <color rgb="FF0000FF"/>
      <name val="Tahoma"/>
      <charset val="134"/>
    </font>
    <font>
      <b/>
      <sz val="9"/>
      <color theme="1"/>
      <name val="Tahoma"/>
      <charset val="134"/>
    </font>
    <font>
      <b/>
      <sz val="10"/>
      <color rgb="FF00008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9" fillId="0" borderId="0" applyFont="0" applyFill="0" applyBorder="0" applyAlignment="0" applyProtection="0">
      <alignment vertical="center"/>
    </xf>
    <xf numFmtId="44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42" fontId="39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8" borderId="104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05" applyNumberFormat="0" applyFill="0" applyAlignment="0" applyProtection="0">
      <alignment vertical="center"/>
    </xf>
    <xf numFmtId="0" fontId="46" fillId="0" borderId="105" applyNumberFormat="0" applyFill="0" applyAlignment="0" applyProtection="0">
      <alignment vertical="center"/>
    </xf>
    <xf numFmtId="0" fontId="47" fillId="0" borderId="10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9" borderId="107" applyNumberFormat="0" applyAlignment="0" applyProtection="0">
      <alignment vertical="center"/>
    </xf>
    <xf numFmtId="0" fontId="49" fillId="10" borderId="108" applyNumberFormat="0" applyAlignment="0" applyProtection="0">
      <alignment vertical="center"/>
    </xf>
    <xf numFmtId="0" fontId="50" fillId="10" borderId="107" applyNumberFormat="0" applyAlignment="0" applyProtection="0">
      <alignment vertical="center"/>
    </xf>
    <xf numFmtId="0" fontId="51" fillId="11" borderId="109" applyNumberFormat="0" applyAlignment="0" applyProtection="0">
      <alignment vertical="center"/>
    </xf>
    <xf numFmtId="0" fontId="52" fillId="0" borderId="110" applyNumberFormat="0" applyFill="0" applyAlignment="0" applyProtection="0">
      <alignment vertical="center"/>
    </xf>
    <xf numFmtId="0" fontId="53" fillId="0" borderId="111" applyNumberFormat="0" applyFill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</cellStyleXfs>
  <cellXfs count="293">
    <xf numFmtId="0" fontId="0" fillId="0" borderId="0" xfId="0" applyFont="1" applyAlignment="1">
      <alignment vertical="center"/>
    </xf>
    <xf numFmtId="0" fontId="1" fillId="2" borderId="0" xfId="0" applyFont="1" applyFill="1" applyBorder="1" applyAlignment="1"/>
    <xf numFmtId="0" fontId="2" fillId="0" borderId="0" xfId="0" applyFont="1" applyAlignment="1">
      <alignment horizontal="left"/>
    </xf>
    <xf numFmtId="0" fontId="3" fillId="2" borderId="0" xfId="0" applyFont="1" applyFill="1" applyBorder="1" applyAlignment="1"/>
    <xf numFmtId="0" fontId="1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5" xfId="0" applyFont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top" wrapText="1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0" borderId="14" xfId="0" applyFont="1" applyBorder="1" applyAlignment="1">
      <alignment horizontal="right" vertical="center"/>
    </xf>
    <xf numFmtId="0" fontId="10" fillId="0" borderId="14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center"/>
    </xf>
    <xf numFmtId="0" fontId="6" fillId="4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178" fontId="10" fillId="0" borderId="14" xfId="0" applyNumberFormat="1" applyFont="1" applyBorder="1" applyAlignment="1">
      <alignment horizontal="left" vertical="center"/>
    </xf>
    <xf numFmtId="17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top" wrapText="1"/>
    </xf>
    <xf numFmtId="178" fontId="6" fillId="0" borderId="0" xfId="0" applyNumberFormat="1" applyFont="1" applyAlignment="1">
      <alignment horizontal="center" vertical="center"/>
    </xf>
    <xf numFmtId="178" fontId="6" fillId="0" borderId="14" xfId="0" applyNumberFormat="1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0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vertical="center"/>
    </xf>
    <xf numFmtId="179" fontId="14" fillId="2" borderId="14" xfId="0" applyNumberFormat="1" applyFont="1" applyFill="1" applyBorder="1" applyAlignment="1">
      <alignment horizontal="right" vertical="center"/>
    </xf>
    <xf numFmtId="0" fontId="6" fillId="0" borderId="14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6" fillId="5" borderId="0" xfId="0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5" fillId="4" borderId="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left" vertical="top" wrapText="1"/>
    </xf>
    <xf numFmtId="0" fontId="12" fillId="0" borderId="2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58" fontId="6" fillId="0" borderId="0" xfId="0" applyNumberFormat="1" applyFont="1" applyAlignment="1">
      <alignment horizontal="left" vertical="center" wrapText="1"/>
    </xf>
    <xf numFmtId="58" fontId="6" fillId="0" borderId="0" xfId="0" applyNumberFormat="1" applyFont="1" applyAlignment="1">
      <alignment horizontal="center" vertical="center" wrapText="1"/>
    </xf>
    <xf numFmtId="58" fontId="6" fillId="0" borderId="0" xfId="0" applyNumberFormat="1" applyFont="1" applyAlignment="1">
      <alignment horizontal="left" vertical="top" wrapText="1"/>
    </xf>
    <xf numFmtId="0" fontId="10" fillId="3" borderId="6" xfId="0" applyFont="1" applyFill="1" applyBorder="1" applyAlignment="1">
      <alignment horizontal="center" vertical="center"/>
    </xf>
    <xf numFmtId="0" fontId="12" fillId="0" borderId="30" xfId="0" applyFont="1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180" fontId="6" fillId="0" borderId="33" xfId="0" applyNumberFormat="1" applyFont="1" applyBorder="1" applyAlignment="1">
      <alignment horizontal="center" vertical="center"/>
    </xf>
    <xf numFmtId="180" fontId="6" fillId="0" borderId="34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left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6" fillId="0" borderId="4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2" borderId="0" xfId="0" applyFont="1" applyFill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20" fillId="0" borderId="0" xfId="0" applyFont="1" applyAlignment="1">
      <alignment vertical="center"/>
    </xf>
    <xf numFmtId="180" fontId="6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7" xfId="0" applyFont="1" applyFill="1" applyBorder="1" applyAlignment="1">
      <alignment horizontal="right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left" vertical="center" wrapText="1"/>
    </xf>
    <xf numFmtId="0" fontId="21" fillId="3" borderId="6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left" vertical="center" wrapText="1"/>
    </xf>
    <xf numFmtId="0" fontId="12" fillId="0" borderId="44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3" fillId="2" borderId="0" xfId="0" applyFont="1" applyFill="1" applyBorder="1" applyAlignment="1">
      <alignment horizontal="left" vertical="center"/>
    </xf>
    <xf numFmtId="0" fontId="6" fillId="0" borderId="45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21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26" fillId="0" borderId="19" xfId="0" applyFont="1" applyBorder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27" fillId="0" borderId="19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28" fillId="0" borderId="19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2" fillId="0" borderId="46" xfId="0" applyFont="1" applyBorder="1" applyAlignment="1">
      <alignment vertical="center"/>
    </xf>
    <xf numFmtId="0" fontId="10" fillId="3" borderId="47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6" fillId="0" borderId="49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12" fillId="0" borderId="50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31" fillId="0" borderId="21" xfId="0" applyFont="1" applyBorder="1" applyAlignment="1">
      <alignment horizontal="left" vertical="center" wrapText="1"/>
    </xf>
    <xf numFmtId="0" fontId="12" fillId="0" borderId="51" xfId="0" applyFont="1" applyBorder="1" applyAlignment="1">
      <alignment vertical="center"/>
    </xf>
    <xf numFmtId="58" fontId="6" fillId="0" borderId="21" xfId="0" applyNumberFormat="1" applyFont="1" applyBorder="1" applyAlignment="1">
      <alignment horizontal="left" vertical="center" wrapText="1"/>
    </xf>
    <xf numFmtId="0" fontId="6" fillId="0" borderId="21" xfId="0" applyFont="1" applyBorder="1" applyAlignment="1">
      <alignment vertical="center"/>
    </xf>
    <xf numFmtId="0" fontId="6" fillId="0" borderId="26" xfId="0" applyFont="1" applyBorder="1" applyAlignment="1">
      <alignment horizontal="left" vertical="center"/>
    </xf>
    <xf numFmtId="0" fontId="12" fillId="0" borderId="52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12" fillId="0" borderId="53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180" fontId="6" fillId="0" borderId="14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 wrapText="1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vertical="center"/>
    </xf>
    <xf numFmtId="0" fontId="6" fillId="0" borderId="55" xfId="0" applyFont="1" applyBorder="1" applyAlignment="1">
      <alignment horizontal="left" vertical="center" wrapText="1"/>
    </xf>
    <xf numFmtId="0" fontId="10" fillId="3" borderId="19" xfId="0" applyFont="1" applyFill="1" applyBorder="1" applyAlignment="1">
      <alignment horizontal="center" vertical="center" wrapText="1"/>
    </xf>
    <xf numFmtId="58" fontId="6" fillId="0" borderId="33" xfId="0" applyNumberFormat="1" applyFont="1" applyBorder="1" applyAlignment="1">
      <alignment horizontal="left" vertical="center"/>
    </xf>
    <xf numFmtId="0" fontId="12" fillId="0" borderId="32" xfId="0" applyFont="1" applyBorder="1" applyAlignment="1">
      <alignment vertical="center"/>
    </xf>
    <xf numFmtId="0" fontId="9" fillId="0" borderId="33" xfId="0" applyFont="1" applyBorder="1" applyAlignment="1">
      <alignment horizontal="left" vertical="center" wrapText="1"/>
    </xf>
    <xf numFmtId="0" fontId="12" fillId="0" borderId="56" xfId="0" applyFont="1" applyBorder="1" applyAlignment="1">
      <alignment vertical="center"/>
    </xf>
    <xf numFmtId="58" fontId="6" fillId="0" borderId="57" xfId="0" applyNumberFormat="1" applyFont="1" applyBorder="1" applyAlignment="1">
      <alignment horizontal="left" vertical="center" wrapText="1"/>
    </xf>
    <xf numFmtId="0" fontId="12" fillId="0" borderId="37" xfId="0" applyFont="1" applyBorder="1" applyAlignment="1">
      <alignment vertical="center"/>
    </xf>
    <xf numFmtId="0" fontId="9" fillId="0" borderId="57" xfId="0" applyFont="1" applyBorder="1" applyAlignment="1">
      <alignment vertical="center" wrapText="1"/>
    </xf>
    <xf numFmtId="0" fontId="12" fillId="0" borderId="58" xfId="0" applyFont="1" applyBorder="1" applyAlignment="1">
      <alignment vertical="center"/>
    </xf>
    <xf numFmtId="0" fontId="9" fillId="0" borderId="57" xfId="0" applyFont="1" applyBorder="1" applyAlignment="1">
      <alignment horizontal="left" vertical="center" wrapText="1"/>
    </xf>
    <xf numFmtId="0" fontId="6" fillId="0" borderId="59" xfId="0" applyFont="1" applyBorder="1" applyAlignment="1">
      <alignment horizontal="center" vertical="center"/>
    </xf>
    <xf numFmtId="58" fontId="6" fillId="0" borderId="60" xfId="0" applyNumberFormat="1" applyFont="1" applyBorder="1" applyAlignment="1">
      <alignment horizontal="left" vertical="center" wrapText="1"/>
    </xf>
    <xf numFmtId="0" fontId="12" fillId="0" borderId="61" xfId="0" applyFont="1" applyBorder="1" applyAlignment="1">
      <alignment vertical="center"/>
    </xf>
    <xf numFmtId="0" fontId="9" fillId="0" borderId="60" xfId="0" applyFont="1" applyBorder="1" applyAlignment="1">
      <alignment horizontal="left" vertical="center" wrapText="1"/>
    </xf>
    <xf numFmtId="0" fontId="12" fillId="0" borderId="62" xfId="0" applyFont="1" applyBorder="1" applyAlignment="1">
      <alignment vertical="center"/>
    </xf>
    <xf numFmtId="0" fontId="29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wrapText="1"/>
    </xf>
    <xf numFmtId="0" fontId="12" fillId="0" borderId="63" xfId="0" applyFont="1" applyBorder="1" applyAlignment="1">
      <alignment vertical="center"/>
    </xf>
    <xf numFmtId="0" fontId="6" fillId="0" borderId="4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12" fillId="0" borderId="6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12" fillId="0" borderId="65" xfId="0" applyFont="1" applyBorder="1" applyAlignment="1">
      <alignment vertical="center"/>
    </xf>
    <xf numFmtId="0" fontId="10" fillId="0" borderId="3" xfId="0" applyFont="1" applyBorder="1" applyAlignment="1">
      <alignment horizontal="center" vertical="center" wrapText="1"/>
    </xf>
    <xf numFmtId="178" fontId="6" fillId="0" borderId="66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0" fillId="3" borderId="67" xfId="0" applyFont="1" applyFill="1" applyBorder="1" applyAlignment="1">
      <alignment horizontal="center" vertical="center"/>
    </xf>
    <xf numFmtId="0" fontId="10" fillId="3" borderId="68" xfId="0" applyFont="1" applyFill="1" applyBorder="1" applyAlignment="1">
      <alignment horizontal="center" vertical="center"/>
    </xf>
    <xf numFmtId="0" fontId="10" fillId="3" borderId="69" xfId="0" applyFont="1" applyFill="1" applyBorder="1" applyAlignment="1">
      <alignment horizontal="center" vertical="center"/>
    </xf>
    <xf numFmtId="0" fontId="10" fillId="3" borderId="70" xfId="0" applyFont="1" applyFill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72" xfId="0" applyFont="1" applyBorder="1" applyAlignment="1">
      <alignment vertical="center"/>
    </xf>
    <xf numFmtId="0" fontId="6" fillId="0" borderId="7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74" xfId="0" applyFont="1" applyBorder="1" applyAlignment="1">
      <alignment vertical="center"/>
    </xf>
    <xf numFmtId="0" fontId="12" fillId="0" borderId="75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12" fillId="0" borderId="76" xfId="0" applyFont="1" applyBorder="1" applyAlignment="1">
      <alignment vertical="center"/>
    </xf>
    <xf numFmtId="0" fontId="6" fillId="0" borderId="77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 wrapText="1"/>
    </xf>
    <xf numFmtId="0" fontId="12" fillId="0" borderId="78" xfId="0" applyFont="1" applyBorder="1" applyAlignment="1">
      <alignment vertical="center"/>
    </xf>
    <xf numFmtId="0" fontId="32" fillId="0" borderId="0" xfId="0" applyFont="1" applyAlignment="1">
      <alignment horizontal="center" vertical="center" wrapText="1"/>
    </xf>
    <xf numFmtId="0" fontId="10" fillId="3" borderId="69" xfId="0" applyFont="1" applyFill="1" applyBorder="1" applyAlignment="1">
      <alignment vertical="center"/>
    </xf>
    <xf numFmtId="0" fontId="10" fillId="3" borderId="70" xfId="0" applyFont="1" applyFill="1" applyBorder="1" applyAlignment="1">
      <alignment vertical="center"/>
    </xf>
    <xf numFmtId="0" fontId="6" fillId="0" borderId="79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9" fontId="6" fillId="0" borderId="24" xfId="0" applyNumberFormat="1" applyFont="1" applyBorder="1" applyAlignment="1">
      <alignment horizontal="center" vertical="center" wrapText="1"/>
    </xf>
    <xf numFmtId="0" fontId="6" fillId="0" borderId="80" xfId="0" applyFont="1" applyBorder="1" applyAlignment="1">
      <alignment vertical="center" wrapText="1"/>
    </xf>
    <xf numFmtId="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81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8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2" fillId="0" borderId="83" xfId="0" applyFont="1" applyBorder="1" applyAlignment="1">
      <alignment vertical="center"/>
    </xf>
    <xf numFmtId="0" fontId="6" fillId="0" borderId="27" xfId="0" applyFont="1" applyBorder="1" applyAlignment="1">
      <alignment horizontal="center" vertical="center" wrapText="1"/>
    </xf>
    <xf numFmtId="0" fontId="12" fillId="0" borderId="84" xfId="0" applyFont="1" applyBorder="1" applyAlignment="1">
      <alignment vertical="center"/>
    </xf>
    <xf numFmtId="0" fontId="10" fillId="3" borderId="81" xfId="0" applyFont="1" applyFill="1" applyBorder="1" applyAlignment="1">
      <alignment horizontal="center" vertical="center"/>
    </xf>
    <xf numFmtId="0" fontId="12" fillId="0" borderId="85" xfId="0" applyFont="1" applyBorder="1" applyAlignment="1">
      <alignment vertical="center"/>
    </xf>
    <xf numFmtId="0" fontId="6" fillId="0" borderId="86" xfId="0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33" fillId="2" borderId="0" xfId="0" applyFont="1" applyFill="1" applyBorder="1" applyAlignment="1">
      <alignment horizontal="center" vertical="center"/>
    </xf>
    <xf numFmtId="0" fontId="34" fillId="0" borderId="87" xfId="0" applyFont="1" applyBorder="1" applyAlignment="1">
      <alignment horizontal="center" vertical="center"/>
    </xf>
    <xf numFmtId="0" fontId="35" fillId="3" borderId="88" xfId="0" applyFont="1" applyFill="1" applyBorder="1" applyAlignment="1">
      <alignment horizontal="center" vertical="center"/>
    </xf>
    <xf numFmtId="0" fontId="12" fillId="0" borderId="89" xfId="0" applyFont="1" applyBorder="1" applyAlignment="1">
      <alignment vertical="center"/>
    </xf>
    <xf numFmtId="0" fontId="12" fillId="0" borderId="9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6" fillId="7" borderId="91" xfId="0" applyFont="1" applyFill="1" applyBorder="1" applyAlignment="1">
      <alignment horizontal="center"/>
    </xf>
    <xf numFmtId="0" fontId="12" fillId="0" borderId="92" xfId="0" applyFont="1" applyBorder="1" applyAlignment="1">
      <alignment vertical="center"/>
    </xf>
    <xf numFmtId="0" fontId="37" fillId="3" borderId="67" xfId="0" applyFont="1" applyFill="1" applyBorder="1" applyAlignment="1">
      <alignment horizontal="left" vertical="center"/>
    </xf>
    <xf numFmtId="0" fontId="1" fillId="0" borderId="93" xfId="0" applyFont="1" applyBorder="1" applyAlignment="1">
      <alignment horizontal="left" vertical="center"/>
    </xf>
    <xf numFmtId="0" fontId="12" fillId="0" borderId="93" xfId="0" applyFont="1" applyBorder="1" applyAlignment="1">
      <alignment vertical="center"/>
    </xf>
    <xf numFmtId="0" fontId="12" fillId="0" borderId="94" xfId="0" applyFont="1" applyBorder="1" applyAlignment="1">
      <alignment vertical="center"/>
    </xf>
    <xf numFmtId="0" fontId="37" fillId="3" borderId="69" xfId="0" applyFont="1" applyFill="1" applyBorder="1" applyAlignment="1">
      <alignment horizontal="left" vertical="center"/>
    </xf>
    <xf numFmtId="0" fontId="1" fillId="0" borderId="85" xfId="0" applyFont="1" applyBorder="1" applyAlignment="1">
      <alignment horizontal="left" vertical="center"/>
    </xf>
    <xf numFmtId="0" fontId="37" fillId="3" borderId="81" xfId="0" applyFont="1" applyFill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37" fillId="3" borderId="2" xfId="0" applyFont="1" applyFill="1" applyBorder="1" applyAlignment="1">
      <alignment horizontal="left" vertical="center"/>
    </xf>
    <xf numFmtId="180" fontId="1" fillId="0" borderId="95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7" fillId="3" borderId="96" xfId="0" applyFont="1" applyFill="1" applyBorder="1" applyAlignment="1">
      <alignment horizontal="left" vertical="center"/>
    </xf>
    <xf numFmtId="0" fontId="1" fillId="0" borderId="97" xfId="0" applyFont="1" applyBorder="1" applyAlignment="1">
      <alignment horizontal="left" vertical="center"/>
    </xf>
    <xf numFmtId="0" fontId="12" fillId="0" borderId="97" xfId="0" applyFont="1" applyBorder="1" applyAlignment="1">
      <alignment vertical="center"/>
    </xf>
    <xf numFmtId="0" fontId="12" fillId="0" borderId="98" xfId="0" applyFont="1" applyBorder="1" applyAlignment="1">
      <alignment vertical="center"/>
    </xf>
    <xf numFmtId="0" fontId="37" fillId="3" borderId="99" xfId="0" applyFont="1" applyFill="1" applyBorder="1" applyAlignment="1">
      <alignment horizontal="left" vertical="center"/>
    </xf>
    <xf numFmtId="0" fontId="38" fillId="2" borderId="0" xfId="0" applyFont="1" applyFill="1" applyBorder="1" applyAlignment="1">
      <alignment horizontal="left"/>
    </xf>
    <xf numFmtId="0" fontId="37" fillId="3" borderId="67" xfId="0" applyFont="1" applyFill="1" applyBorder="1" applyAlignment="1">
      <alignment horizontal="center" vertical="center"/>
    </xf>
    <xf numFmtId="0" fontId="37" fillId="3" borderId="69" xfId="0" applyFont="1" applyFill="1" applyBorder="1" applyAlignment="1">
      <alignment horizontal="center" vertical="center"/>
    </xf>
    <xf numFmtId="0" fontId="37" fillId="3" borderId="68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5" fontId="1" fillId="0" borderId="19" xfId="0" applyNumberFormat="1" applyFont="1" applyBorder="1" applyAlignment="1">
      <alignment horizontal="left" vertical="center"/>
    </xf>
    <xf numFmtId="58" fontId="29" fillId="0" borderId="96" xfId="0" applyNumberFormat="1" applyFont="1" applyBorder="1" applyAlignment="1">
      <alignment horizontal="right" vertical="center" wrapText="1"/>
    </xf>
    <xf numFmtId="49" fontId="1" fillId="0" borderId="99" xfId="0" applyNumberFormat="1" applyFont="1" applyBorder="1" applyAlignment="1">
      <alignment horizontal="center" vertical="center"/>
    </xf>
    <xf numFmtId="0" fontId="1" fillId="0" borderId="99" xfId="0" applyFont="1" applyBorder="1" applyAlignment="1">
      <alignment horizontal="left" vertical="center" wrapText="1"/>
    </xf>
    <xf numFmtId="0" fontId="1" fillId="0" borderId="99" xfId="0" applyFont="1" applyBorder="1" applyAlignment="1">
      <alignment horizontal="center" vertical="center"/>
    </xf>
    <xf numFmtId="15" fontId="1" fillId="0" borderId="100" xfId="0" applyNumberFormat="1" applyFont="1" applyBorder="1" applyAlignment="1">
      <alignment horizontal="left" vertical="center"/>
    </xf>
    <xf numFmtId="0" fontId="12" fillId="0" borderId="95" xfId="0" applyFont="1" applyBorder="1" applyAlignment="1">
      <alignment vertical="center"/>
    </xf>
    <xf numFmtId="0" fontId="1" fillId="0" borderId="0" xfId="0" applyFont="1" applyAlignment="1">
      <alignment horizontal="right"/>
    </xf>
    <xf numFmtId="0" fontId="5" fillId="3" borderId="67" xfId="0" applyFont="1" applyFill="1" applyBorder="1" applyAlignment="1">
      <alignment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1" fillId="0" borderId="81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1" fillId="0" borderId="82" xfId="0" applyFont="1" applyBorder="1" applyAlignment="1">
      <alignment vertical="center"/>
    </xf>
    <xf numFmtId="0" fontId="25" fillId="0" borderId="81" xfId="0" applyFont="1" applyBorder="1" applyAlignment="1">
      <alignment vertical="center"/>
    </xf>
    <xf numFmtId="0" fontId="1" fillId="0" borderId="19" xfId="0" applyFont="1" applyBorder="1" applyAlignment="1">
      <alignment horizontal="left" vertical="center" wrapText="1"/>
    </xf>
    <xf numFmtId="0" fontId="25" fillId="0" borderId="96" xfId="0" applyFont="1" applyBorder="1" applyAlignment="1">
      <alignment vertical="center"/>
    </xf>
    <xf numFmtId="0" fontId="1" fillId="0" borderId="100" xfId="0" applyFont="1" applyBorder="1" applyAlignment="1">
      <alignment horizontal="left" vertical="center" wrapText="1"/>
    </xf>
    <xf numFmtId="0" fontId="1" fillId="0" borderId="101" xfId="0" applyFont="1" applyBorder="1" applyAlignment="1">
      <alignment vertical="center"/>
    </xf>
    <xf numFmtId="0" fontId="5" fillId="2" borderId="0" xfId="0" applyFont="1" applyFill="1" applyBorder="1" applyAlignment="1"/>
    <xf numFmtId="15" fontId="1" fillId="2" borderId="0" xfId="0" applyNumberFormat="1" applyFont="1" applyFill="1" applyBorder="1" applyAlignment="1"/>
    <xf numFmtId="0" fontId="37" fillId="3" borderId="102" xfId="0" applyFont="1" applyFill="1" applyBorder="1" applyAlignment="1">
      <alignment horizontal="center" vertical="center"/>
    </xf>
    <xf numFmtId="0" fontId="37" fillId="3" borderId="70" xfId="0" applyFont="1" applyFill="1" applyBorder="1" applyAlignment="1">
      <alignment horizontal="center" vertical="center"/>
    </xf>
    <xf numFmtId="0" fontId="1" fillId="0" borderId="10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58" fontId="1" fillId="0" borderId="2" xfId="0" applyNumberFormat="1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Gantt chart for master schedule</a:t>
            </a:r>
            <a:endParaRPr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"Start day from 9/12/2019"</c:f>
              <c:strCache>
                <c:ptCount val="1"/>
                <c:pt idx="0">
                  <c:v>Start day from 9/12/2019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'Master Schedule'!$B$29:$B$35</c:f>
              <c:strCache>
                <c:ptCount val="7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"Duration"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'Master Schedule'!$B$29:$B$35</c:f>
              <c:strCache>
                <c:ptCount val="7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Task</a:t>
                </a:r>
                <a:endParaRPr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52564607"/>
        <c:crosses val="autoZero"/>
        <c:auto val="1"/>
        <c:lblAlgn val="ctr"/>
        <c:lblOffset val="100"/>
        <c:noMultiLvlLbl val="0"/>
      </c:catAx>
      <c:valAx>
        <c:axId val="105256460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cross"/>
        <c:minorTickMark val="cross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+mn-ea"/>
                <a:cs typeface="+mn-cs"/>
              </a:defRPr>
            </a:pPr>
          </a:p>
        </c:txPr>
        <c:crossAx val="507842704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41d24d-6982-4f13-894f-cbac37029bf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9100" y="171450"/>
          <a:ext cx="1238250" cy="914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/>
        <xdr:cNvGrpSpPr/>
      </xdr:nvGrpSpPr>
      <xdr:grpSpPr>
        <a:xfrm>
          <a:off x="152400" y="1714500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/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>
          <xdr:nvSpPr>
            <xdr:cNvPr id="4" name="Shape 4"/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>
      <xdr:nvGraphicFramePr>
        <xdr:cNvPr id="710657588" name="Chart 1" title="Biểu đồ"/>
        <xdr:cNvGraphicFramePr/>
      </xdr:nvGraphicFramePr>
      <xdr:xfrm>
        <a:off x="4592955" y="3430905"/>
        <a:ext cx="6038850" cy="373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tabSelected="1" topLeftCell="A9" workbookViewId="0">
      <selection activeCell="G20" sqref="G20"/>
    </sheetView>
  </sheetViews>
  <sheetFormatPr defaultColWidth="14.4285714285714" defaultRowHeight="15" customHeight="1"/>
  <cols>
    <col min="1" max="1" width="7.85714285714286" customWidth="1"/>
    <col min="2" max="2" width="35" customWidth="1"/>
    <col min="3" max="3" width="12.1428571428571" customWidth="1"/>
    <col min="4" max="4" width="32.4285714285714" customWidth="1"/>
    <col min="5" max="5" width="10.4285714285714" customWidth="1"/>
    <col min="6" max="6" width="27.4285714285714" customWidth="1"/>
    <col min="7" max="7" width="40" customWidth="1"/>
    <col min="8" max="8" width="12" customWidth="1"/>
    <col min="9" max="26" width="8" customWidth="1"/>
  </cols>
  <sheetData>
    <row r="1" ht="13.5" customHeight="1" spans="1:26">
      <c r="A1" s="233"/>
      <c r="B1" s="234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 ht="72" customHeight="1" spans="1:26">
      <c r="A2" s="235"/>
      <c r="B2" s="236"/>
      <c r="C2" s="237" t="s">
        <v>0</v>
      </c>
      <c r="D2" s="238"/>
      <c r="E2" s="238"/>
      <c r="F2" s="238"/>
      <c r="G2" s="239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</row>
    <row r="3" ht="13.5" customHeight="1" spans="1:26">
      <c r="A3" s="233"/>
      <c r="B3" s="241"/>
      <c r="C3" s="38"/>
      <c r="D3" s="38"/>
      <c r="E3" s="38"/>
      <c r="F3" s="38"/>
      <c r="G3" s="242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 ht="14.25" customHeight="1" spans="1:26">
      <c r="A4" s="233"/>
      <c r="B4" s="243" t="s">
        <v>1</v>
      </c>
      <c r="C4" s="244" t="s">
        <v>2</v>
      </c>
      <c r="D4" s="245"/>
      <c r="E4" s="246"/>
      <c r="F4" s="247" t="s">
        <v>3</v>
      </c>
      <c r="G4" s="248" t="s">
        <v>4</v>
      </c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14.25" customHeight="1" spans="1:26">
      <c r="A5" s="233"/>
      <c r="B5" s="249" t="s">
        <v>5</v>
      </c>
      <c r="C5" s="250" t="s">
        <v>6</v>
      </c>
      <c r="D5" s="61"/>
      <c r="E5" s="81"/>
      <c r="F5" s="251" t="s">
        <v>7</v>
      </c>
      <c r="G5" s="252" t="s">
        <v>8</v>
      </c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14.25" customHeight="1" spans="1:26">
      <c r="A6" s="233"/>
      <c r="B6" s="249" t="s">
        <v>9</v>
      </c>
      <c r="C6" s="253" t="s">
        <v>10</v>
      </c>
      <c r="D6" s="178"/>
      <c r="E6" s="141"/>
      <c r="F6" s="251" t="s">
        <v>11</v>
      </c>
      <c r="G6" s="248" t="s">
        <v>12</v>
      </c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14.25" customHeight="1" spans="1:26">
      <c r="A7" s="233"/>
      <c r="B7" s="254" t="s">
        <v>13</v>
      </c>
      <c r="C7" s="255" t="s">
        <v>14</v>
      </c>
      <c r="D7" s="256"/>
      <c r="E7" s="257"/>
      <c r="F7" s="258" t="s">
        <v>15</v>
      </c>
      <c r="G7" s="252" t="s">
        <v>8</v>
      </c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12.75" customHeight="1" spans="1:26">
      <c r="A8" s="233"/>
      <c r="B8" s="234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ht="14.25" customHeight="1" spans="1:26">
      <c r="A9" s="233"/>
      <c r="B9" s="259" t="s">
        <v>16</v>
      </c>
      <c r="C9" s="38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ht="18" customHeight="1" spans="1:26">
      <c r="A10" s="240"/>
      <c r="B10" s="260" t="s">
        <v>17</v>
      </c>
      <c r="C10" s="261" t="s">
        <v>13</v>
      </c>
      <c r="D10" s="261" t="s">
        <v>18</v>
      </c>
      <c r="E10" s="261" t="s">
        <v>19</v>
      </c>
      <c r="F10" s="262" t="s">
        <v>20</v>
      </c>
      <c r="G10" s="205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</row>
    <row r="11" ht="12.75" customHeight="1" spans="1:26">
      <c r="A11" s="263"/>
      <c r="B11" s="252" t="s">
        <v>8</v>
      </c>
      <c r="C11" s="264" t="s">
        <v>14</v>
      </c>
      <c r="D11" s="265" t="s">
        <v>21</v>
      </c>
      <c r="E11" s="266"/>
      <c r="F11" s="267"/>
      <c r="G11" s="231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</row>
    <row r="12" ht="13.5" customHeight="1" spans="1:26">
      <c r="A12" s="263"/>
      <c r="B12" s="268"/>
      <c r="C12" s="269"/>
      <c r="D12" s="270"/>
      <c r="E12" s="271"/>
      <c r="F12" s="272"/>
      <c r="G12" s="27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</row>
    <row r="13" ht="12.75" customHeight="1" spans="1:26">
      <c r="A13" s="233"/>
      <c r="B13" s="274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14.25" customHeight="1" spans="1:26">
      <c r="A14" s="233"/>
      <c r="B14" s="259" t="s">
        <v>22</v>
      </c>
      <c r="C14" s="38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17.25" customHeight="1" spans="1:26">
      <c r="A15" s="233"/>
      <c r="B15" s="275" t="s">
        <v>23</v>
      </c>
      <c r="C15" s="276" t="s">
        <v>24</v>
      </c>
      <c r="D15" s="245"/>
      <c r="E15" s="245"/>
      <c r="F15" s="246"/>
      <c r="G15" s="277" t="s">
        <v>25</v>
      </c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15.75" customHeight="1" spans="1:26">
      <c r="A16" s="233"/>
      <c r="B16" s="278" t="s">
        <v>26</v>
      </c>
      <c r="C16" s="279" t="s">
        <v>27</v>
      </c>
      <c r="D16" s="61"/>
      <c r="E16" s="61"/>
      <c r="F16" s="81"/>
      <c r="G16" s="280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57" customHeight="1" spans="1:26">
      <c r="A17" s="233"/>
      <c r="B17" s="281" t="s">
        <v>28</v>
      </c>
      <c r="C17" s="282" t="s">
        <v>29</v>
      </c>
      <c r="D17" s="61"/>
      <c r="E17" s="61"/>
      <c r="F17" s="81"/>
      <c r="G17" s="280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79.5" customHeight="1" spans="1:26">
      <c r="A18" s="233"/>
      <c r="B18" s="281" t="s">
        <v>30</v>
      </c>
      <c r="C18" s="282" t="s">
        <v>31</v>
      </c>
      <c r="D18" s="61"/>
      <c r="E18" s="61"/>
      <c r="F18" s="81"/>
      <c r="G18" s="280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27.75" customHeight="1" spans="1:26">
      <c r="A19" s="233"/>
      <c r="B19" s="281" t="s">
        <v>32</v>
      </c>
      <c r="C19" s="282" t="s">
        <v>33</v>
      </c>
      <c r="D19" s="61"/>
      <c r="E19" s="61"/>
      <c r="F19" s="81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17.25" customHeight="1" spans="1:26">
      <c r="A20" s="233"/>
      <c r="B20" s="281" t="s">
        <v>34</v>
      </c>
      <c r="C20" s="282" t="s">
        <v>35</v>
      </c>
      <c r="D20" s="61"/>
      <c r="E20" s="61"/>
      <c r="F20" s="81"/>
      <c r="G20" s="280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43.5" customHeight="1" spans="1:26">
      <c r="A21" s="233"/>
      <c r="B21" s="283" t="s">
        <v>36</v>
      </c>
      <c r="C21" s="284" t="s">
        <v>37</v>
      </c>
      <c r="D21" s="256"/>
      <c r="E21" s="256"/>
      <c r="F21" s="257"/>
      <c r="G21" s="285" t="s">
        <v>38</v>
      </c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12.75" customHeight="1" spans="1:26">
      <c r="A22" s="233"/>
      <c r="B22" s="234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14.25" customHeight="1" spans="1:26">
      <c r="A23" s="286"/>
      <c r="B23" s="259" t="s">
        <v>39</v>
      </c>
      <c r="C23" s="38"/>
      <c r="D23" s="1"/>
      <c r="E23" s="1"/>
      <c r="F23" s="1"/>
      <c r="G23" s="1"/>
      <c r="H23" s="28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" customHeight="1" spans="1:26">
      <c r="A24" s="240"/>
      <c r="B24" s="288" t="s">
        <v>40</v>
      </c>
      <c r="C24" s="245"/>
      <c r="D24" s="245"/>
      <c r="E24" s="246"/>
      <c r="F24" s="261" t="s">
        <v>13</v>
      </c>
      <c r="G24" s="289" t="s">
        <v>25</v>
      </c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</row>
    <row r="25" ht="12.75" customHeight="1" spans="1:26">
      <c r="A25" s="263"/>
      <c r="B25" s="290" t="s">
        <v>41</v>
      </c>
      <c r="C25" s="61"/>
      <c r="D25" s="61"/>
      <c r="E25" s="81"/>
      <c r="F25" s="291" t="s">
        <v>42</v>
      </c>
      <c r="G25" s="280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</row>
    <row r="26" ht="12.75" customHeight="1" spans="1:26">
      <c r="A26" s="263"/>
      <c r="B26" s="290"/>
      <c r="C26" s="61"/>
      <c r="D26" s="61"/>
      <c r="E26" s="81"/>
      <c r="F26" s="292"/>
      <c r="G26" s="280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</row>
    <row r="27" ht="12.75" customHeight="1" spans="1:26">
      <c r="A27" s="233"/>
      <c r="B27" s="234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12.75" customHeight="1" spans="1:26">
      <c r="A28" s="233"/>
      <c r="B28" s="234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12.75" customHeight="1" spans="1:26">
      <c r="A29" s="233"/>
      <c r="B29" s="234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12.75" customHeight="1" spans="1:26">
      <c r="A30" s="233"/>
      <c r="B30" s="234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12.75" customHeight="1" spans="1:26">
      <c r="A31" s="233"/>
      <c r="B31" s="234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12.75" customHeight="1" spans="1:26">
      <c r="A32" s="233"/>
      <c r="B32" s="234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12.75" customHeight="1" spans="1:26">
      <c r="A33" s="233"/>
      <c r="B33" s="234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12.75" customHeight="1" spans="1:26">
      <c r="A34" s="233"/>
      <c r="B34" s="234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12.75" customHeight="1" spans="1:26">
      <c r="A35" s="233"/>
      <c r="B35" s="234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12.75" customHeight="1" spans="1:26">
      <c r="A36" s="233"/>
      <c r="B36" s="234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12.75" customHeight="1" spans="1:26">
      <c r="A37" s="233"/>
      <c r="B37" s="234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12.75" customHeight="1" spans="1:26">
      <c r="A38" s="233"/>
      <c r="B38" s="234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12.75" customHeight="1" spans="1:26">
      <c r="A39" s="233"/>
      <c r="B39" s="234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12.75" customHeight="1" spans="1:26">
      <c r="A40" s="233"/>
      <c r="B40" s="234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12.75" customHeight="1" spans="1:26">
      <c r="A41" s="233"/>
      <c r="B41" s="234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12.75" customHeight="1" spans="1:26">
      <c r="A42" s="233"/>
      <c r="B42" s="234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12.75" customHeight="1" spans="1:26">
      <c r="A43" s="233"/>
      <c r="B43" s="234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12.75" customHeight="1" spans="1:26">
      <c r="A44" s="233"/>
      <c r="B44" s="234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12.75" customHeight="1" spans="1:26">
      <c r="A45" s="233"/>
      <c r="B45" s="234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12.75" customHeight="1" spans="1:26">
      <c r="A46" s="233"/>
      <c r="B46" s="234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12.75" customHeight="1" spans="1:26">
      <c r="A47" s="233"/>
      <c r="B47" s="234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12.75" customHeight="1" spans="1:26">
      <c r="A48" s="233"/>
      <c r="B48" s="234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12.75" customHeight="1" spans="1:26">
      <c r="A49" s="233"/>
      <c r="B49" s="234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12.75" customHeight="1" spans="1:26">
      <c r="A50" s="233"/>
      <c r="B50" s="234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12.75" customHeight="1" spans="1:26">
      <c r="A51" s="233"/>
      <c r="B51" s="234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12.75" customHeight="1" spans="1:26">
      <c r="A52" s="233"/>
      <c r="B52" s="234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12.75" customHeight="1" spans="1:26">
      <c r="A53" s="233"/>
      <c r="B53" s="234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12.75" customHeight="1" spans="1:26">
      <c r="A54" s="233"/>
      <c r="B54" s="234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12.75" customHeight="1" spans="1:26">
      <c r="A55" s="233"/>
      <c r="B55" s="234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12.75" customHeight="1" spans="1:26">
      <c r="A56" s="233"/>
      <c r="B56" s="234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12.75" customHeight="1" spans="1:26">
      <c r="A57" s="233"/>
      <c r="B57" s="234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12.75" customHeight="1" spans="1:26">
      <c r="A58" s="233"/>
      <c r="B58" s="234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12.75" customHeight="1" spans="1:26">
      <c r="A59" s="233"/>
      <c r="B59" s="234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12.75" customHeight="1" spans="1:26">
      <c r="A60" s="233"/>
      <c r="B60" s="234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12.75" customHeight="1" spans="1:26">
      <c r="A61" s="233"/>
      <c r="B61" s="234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12.75" customHeight="1" spans="1:26">
      <c r="A62" s="233"/>
      <c r="B62" s="234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12.75" customHeight="1" spans="1:26">
      <c r="A63" s="233"/>
      <c r="B63" s="234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12.75" customHeight="1" spans="1:26">
      <c r="A64" s="233"/>
      <c r="B64" s="234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12.75" customHeight="1" spans="1:26">
      <c r="A65" s="233"/>
      <c r="B65" s="234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12.75" customHeight="1" spans="1:26">
      <c r="A66" s="233"/>
      <c r="B66" s="234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12.75" customHeight="1" spans="1:26">
      <c r="A67" s="233"/>
      <c r="B67" s="234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12.75" customHeight="1" spans="1:26">
      <c r="A68" s="233"/>
      <c r="B68" s="234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12.75" customHeight="1" spans="1:26">
      <c r="A69" s="233"/>
      <c r="B69" s="234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12.75" customHeight="1" spans="1:26">
      <c r="A70" s="233"/>
      <c r="B70" s="234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12.75" customHeight="1" spans="1:26">
      <c r="A71" s="233"/>
      <c r="B71" s="234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12.75" customHeight="1" spans="1:26">
      <c r="A72" s="233"/>
      <c r="B72" s="234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12.75" customHeight="1" spans="1:26">
      <c r="A73" s="233"/>
      <c r="B73" s="234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12.75" customHeight="1" spans="1:26">
      <c r="A74" s="233"/>
      <c r="B74" s="234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12.75" customHeight="1" spans="1:26">
      <c r="A75" s="233"/>
      <c r="B75" s="234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12.75" customHeight="1" spans="1:26">
      <c r="A76" s="233"/>
      <c r="B76" s="234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12.75" customHeight="1" spans="1:26">
      <c r="A77" s="233"/>
      <c r="B77" s="234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12.75" customHeight="1" spans="1:26">
      <c r="A78" s="233"/>
      <c r="B78" s="234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12.75" customHeight="1" spans="1:26">
      <c r="A79" s="233"/>
      <c r="B79" s="234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12.75" customHeight="1" spans="1:26">
      <c r="A80" s="233"/>
      <c r="B80" s="234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12.75" customHeight="1" spans="1:26">
      <c r="A81" s="233"/>
      <c r="B81" s="234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12.75" customHeight="1" spans="1:26">
      <c r="A82" s="233"/>
      <c r="B82" s="234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12.75" customHeight="1" spans="1:26">
      <c r="A83" s="233"/>
      <c r="B83" s="234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12.75" customHeight="1" spans="1:26">
      <c r="A84" s="233"/>
      <c r="B84" s="234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12.75" customHeight="1" spans="1:26">
      <c r="A85" s="233"/>
      <c r="B85" s="234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12.75" customHeight="1" spans="1:26">
      <c r="A86" s="233"/>
      <c r="B86" s="234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12.75" customHeight="1" spans="1:26">
      <c r="A87" s="233"/>
      <c r="B87" s="234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12.75" customHeight="1" spans="1:26">
      <c r="A88" s="233"/>
      <c r="B88" s="234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12.75" customHeight="1" spans="1:26">
      <c r="A89" s="233"/>
      <c r="B89" s="234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12.75" customHeight="1" spans="1:26">
      <c r="A90" s="233"/>
      <c r="B90" s="234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12.75" customHeight="1" spans="1:26">
      <c r="A91" s="233"/>
      <c r="B91" s="234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12.75" customHeight="1" spans="1:26">
      <c r="A92" s="233"/>
      <c r="B92" s="234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12.75" customHeight="1" spans="1:26">
      <c r="A93" s="233"/>
      <c r="B93" s="234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12.75" customHeight="1" spans="1:26">
      <c r="A94" s="233"/>
      <c r="B94" s="234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12.75" customHeight="1" spans="1:26">
      <c r="A95" s="233"/>
      <c r="B95" s="234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12.75" customHeight="1" spans="1:26">
      <c r="A96" s="233"/>
      <c r="B96" s="234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12.75" customHeight="1" spans="1:26">
      <c r="A97" s="233"/>
      <c r="B97" s="234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12.75" customHeight="1" spans="1:26">
      <c r="A98" s="233"/>
      <c r="B98" s="234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12.75" customHeight="1" spans="1:26">
      <c r="A99" s="233"/>
      <c r="B99" s="234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12.75" customHeight="1" spans="1:26">
      <c r="A100" s="233"/>
      <c r="B100" s="234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12.75" customHeight="1" spans="1:26">
      <c r="A101" s="233"/>
      <c r="B101" s="234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12.75" customHeight="1" spans="1:26">
      <c r="A102" s="233"/>
      <c r="B102" s="234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12.75" customHeight="1" spans="1:26">
      <c r="A103" s="233"/>
      <c r="B103" s="234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12.75" customHeight="1" spans="1:26">
      <c r="A104" s="233"/>
      <c r="B104" s="234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12.75" customHeight="1" spans="1:26">
      <c r="A105" s="233"/>
      <c r="B105" s="234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12.75" customHeight="1" spans="1:26">
      <c r="A106" s="233"/>
      <c r="B106" s="234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12.75" customHeight="1" spans="1:26">
      <c r="A107" s="233"/>
      <c r="B107" s="234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12.75" customHeight="1" spans="1:26">
      <c r="A108" s="233"/>
      <c r="B108" s="234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12.75" customHeight="1" spans="1:26">
      <c r="A109" s="233"/>
      <c r="B109" s="234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12.75" customHeight="1" spans="1:26">
      <c r="A110" s="233"/>
      <c r="B110" s="234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12.75" customHeight="1" spans="1:26">
      <c r="A111" s="233"/>
      <c r="B111" s="234"/>
      <c r="C111" s="233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12.75" customHeight="1" spans="1:26">
      <c r="A112" s="233"/>
      <c r="B112" s="234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12.75" customHeight="1" spans="1:26">
      <c r="A113" s="233"/>
      <c r="B113" s="234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12.75" customHeight="1" spans="1:26">
      <c r="A114" s="233"/>
      <c r="B114" s="234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12.75" customHeight="1" spans="1:26">
      <c r="A115" s="233"/>
      <c r="B115" s="234"/>
      <c r="C115" s="233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12.75" customHeight="1" spans="1:26">
      <c r="A116" s="233"/>
      <c r="B116" s="234"/>
      <c r="C116" s="233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12.75" customHeight="1" spans="1:26">
      <c r="A117" s="233"/>
      <c r="B117" s="234"/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12.75" customHeight="1" spans="1:26">
      <c r="A118" s="233"/>
      <c r="B118" s="234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12.75" customHeight="1" spans="1:26">
      <c r="A119" s="233"/>
      <c r="B119" s="234"/>
      <c r="C119" s="233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12.75" customHeight="1" spans="1:26">
      <c r="A120" s="233"/>
      <c r="B120" s="234"/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12.75" customHeight="1" spans="1:26">
      <c r="A121" s="233"/>
      <c r="B121" s="234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12.75" customHeight="1" spans="1:26">
      <c r="A122" s="233"/>
      <c r="B122" s="234"/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12.75" customHeight="1" spans="1:26">
      <c r="A123" s="233"/>
      <c r="B123" s="234"/>
      <c r="C123" s="233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12.75" customHeight="1" spans="1:26">
      <c r="A124" s="233"/>
      <c r="B124" s="234"/>
      <c r="C124" s="233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12.75" customHeight="1" spans="1:26">
      <c r="A125" s="233"/>
      <c r="B125" s="234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12.75" customHeight="1" spans="1:26">
      <c r="A126" s="233"/>
      <c r="B126" s="234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12.75" customHeight="1" spans="1:26">
      <c r="A127" s="233"/>
      <c r="B127" s="234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12.75" customHeight="1" spans="1:26">
      <c r="A128" s="233"/>
      <c r="B128" s="234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12.75" customHeight="1" spans="1:26">
      <c r="A129" s="233"/>
      <c r="B129" s="234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12.75" customHeight="1" spans="1:26">
      <c r="A130" s="233"/>
      <c r="B130" s="234"/>
      <c r="C130" s="233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12.75" customHeight="1" spans="1:26">
      <c r="A131" s="233"/>
      <c r="B131" s="234"/>
      <c r="C131" s="233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12.75" customHeight="1" spans="1:26">
      <c r="A132" s="233"/>
      <c r="B132" s="234"/>
      <c r="C132" s="233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12.75" customHeight="1" spans="1:26">
      <c r="A133" s="233"/>
      <c r="B133" s="234"/>
      <c r="C133" s="233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12.75" customHeight="1" spans="1:26">
      <c r="A134" s="233"/>
      <c r="B134" s="234"/>
      <c r="C134" s="233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12.75" customHeight="1" spans="1:26">
      <c r="A135" s="233"/>
      <c r="B135" s="234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12.75" customHeight="1" spans="1:26">
      <c r="A136" s="233"/>
      <c r="B136" s="234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12.75" customHeight="1" spans="1:26">
      <c r="A137" s="233"/>
      <c r="B137" s="234"/>
      <c r="C137" s="233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12.75" customHeight="1" spans="1:26">
      <c r="A138" s="233"/>
      <c r="B138" s="234"/>
      <c r="C138" s="233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12.75" customHeight="1" spans="1:26">
      <c r="A139" s="233"/>
      <c r="B139" s="234"/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12.75" customHeight="1" spans="1:26">
      <c r="A140" s="233"/>
      <c r="B140" s="234"/>
      <c r="C140" s="233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12.75" customHeight="1" spans="1:26">
      <c r="A141" s="233"/>
      <c r="B141" s="234"/>
      <c r="C141" s="233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12.75" customHeight="1" spans="1:26">
      <c r="A142" s="233"/>
      <c r="B142" s="234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12.75" customHeight="1" spans="1:26">
      <c r="A143" s="233"/>
      <c r="B143" s="234"/>
      <c r="C143" s="233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12.75" customHeight="1" spans="1:26">
      <c r="A144" s="233"/>
      <c r="B144" s="234"/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12.75" customHeight="1" spans="1:26">
      <c r="A145" s="233"/>
      <c r="B145" s="234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12.75" customHeight="1" spans="1:26">
      <c r="A146" s="233"/>
      <c r="B146" s="234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12.75" customHeight="1" spans="1:26">
      <c r="A147" s="233"/>
      <c r="B147" s="234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12.75" customHeight="1" spans="1:26">
      <c r="A148" s="233"/>
      <c r="B148" s="234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12.75" customHeight="1" spans="1:26">
      <c r="A149" s="233"/>
      <c r="B149" s="234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12.75" customHeight="1" spans="1:26">
      <c r="A150" s="233"/>
      <c r="B150" s="234"/>
      <c r="C150" s="233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12.75" customHeight="1" spans="1:26">
      <c r="A151" s="233"/>
      <c r="B151" s="234"/>
      <c r="C151" s="233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12.75" customHeight="1" spans="1:26">
      <c r="A152" s="233"/>
      <c r="B152" s="234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12.75" customHeight="1" spans="1:26">
      <c r="A153" s="233"/>
      <c r="B153" s="234"/>
      <c r="C153" s="233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12.75" customHeight="1" spans="1:26">
      <c r="A154" s="233"/>
      <c r="B154" s="234"/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12.75" customHeight="1" spans="1:26">
      <c r="A155" s="233"/>
      <c r="B155" s="234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12.75" customHeight="1" spans="1:26">
      <c r="A156" s="233"/>
      <c r="B156" s="234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12.75" customHeight="1" spans="1:26">
      <c r="A157" s="233"/>
      <c r="B157" s="234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12.75" customHeight="1" spans="1:26">
      <c r="A158" s="233"/>
      <c r="B158" s="234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12.75" customHeight="1" spans="1:26">
      <c r="A159" s="233"/>
      <c r="B159" s="234"/>
      <c r="C159" s="233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12.75" customHeight="1" spans="1:26">
      <c r="A160" s="233"/>
      <c r="B160" s="234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12.75" customHeight="1" spans="1:26">
      <c r="A161" s="233"/>
      <c r="B161" s="234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12.75" customHeight="1" spans="1:26">
      <c r="A162" s="233"/>
      <c r="B162" s="234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12.75" customHeight="1" spans="1:26">
      <c r="A163" s="233"/>
      <c r="B163" s="234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12.75" customHeight="1" spans="1:26">
      <c r="A164" s="233"/>
      <c r="B164" s="234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12.75" customHeight="1" spans="1:26">
      <c r="A165" s="233"/>
      <c r="B165" s="234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12.75" customHeight="1" spans="1:26">
      <c r="A166" s="233"/>
      <c r="B166" s="234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12.75" customHeight="1" spans="1:26">
      <c r="A167" s="233"/>
      <c r="B167" s="234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12.75" customHeight="1" spans="1:26">
      <c r="A168" s="233"/>
      <c r="B168" s="234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12.75" customHeight="1" spans="1:26">
      <c r="A169" s="233"/>
      <c r="B169" s="234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12.75" customHeight="1" spans="1:26">
      <c r="A170" s="233"/>
      <c r="B170" s="234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12.75" customHeight="1" spans="1:26">
      <c r="A171" s="233"/>
      <c r="B171" s="234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12.75" customHeight="1" spans="1:26">
      <c r="A172" s="233"/>
      <c r="B172" s="234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12.75" customHeight="1" spans="1:26">
      <c r="A173" s="233"/>
      <c r="B173" s="234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12.75" customHeight="1" spans="1:26">
      <c r="A174" s="233"/>
      <c r="B174" s="234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12.75" customHeight="1" spans="1:26">
      <c r="A175" s="233"/>
      <c r="B175" s="234"/>
      <c r="C175" s="233"/>
      <c r="D175" s="233"/>
      <c r="E175" s="233"/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12.75" customHeight="1" spans="1:26">
      <c r="A176" s="233"/>
      <c r="B176" s="234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12.75" customHeight="1" spans="1:26">
      <c r="A177" s="233"/>
      <c r="B177" s="234"/>
      <c r="C177" s="233"/>
      <c r="D177" s="233"/>
      <c r="E177" s="233"/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12.75" customHeight="1" spans="1:26">
      <c r="A178" s="233"/>
      <c r="B178" s="234"/>
      <c r="C178" s="233"/>
      <c r="D178" s="233"/>
      <c r="E178" s="233"/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12.75" customHeight="1" spans="1:26">
      <c r="A179" s="233"/>
      <c r="B179" s="234"/>
      <c r="C179" s="233"/>
      <c r="D179" s="233"/>
      <c r="E179" s="233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12.75" customHeight="1" spans="1:26">
      <c r="A180" s="233"/>
      <c r="B180" s="234"/>
      <c r="C180" s="233"/>
      <c r="D180" s="233"/>
      <c r="E180" s="233"/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12.75" customHeight="1" spans="1:26">
      <c r="A181" s="233"/>
      <c r="B181" s="234"/>
      <c r="C181" s="233"/>
      <c r="D181" s="233"/>
      <c r="E181" s="233"/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12.75" customHeight="1" spans="1:26">
      <c r="A182" s="233"/>
      <c r="B182" s="234"/>
      <c r="C182" s="233"/>
      <c r="D182" s="233"/>
      <c r="E182" s="233"/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12.75" customHeight="1" spans="1:26">
      <c r="A183" s="233"/>
      <c r="B183" s="234"/>
      <c r="C183" s="233"/>
      <c r="D183" s="233"/>
      <c r="E183" s="233"/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12.75" customHeight="1" spans="1:26">
      <c r="A184" s="233"/>
      <c r="B184" s="234"/>
      <c r="C184" s="233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12.75" customHeight="1" spans="1:26">
      <c r="A185" s="233"/>
      <c r="B185" s="234"/>
      <c r="C185" s="233"/>
      <c r="D185" s="233"/>
      <c r="E185" s="233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12.75" customHeight="1" spans="1:26">
      <c r="A186" s="233"/>
      <c r="B186" s="234"/>
      <c r="C186" s="233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12.75" customHeight="1" spans="1:26">
      <c r="A187" s="233"/>
      <c r="B187" s="234"/>
      <c r="C187" s="233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12.75" customHeight="1" spans="1:26">
      <c r="A188" s="233"/>
      <c r="B188" s="234"/>
      <c r="C188" s="233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12.75" customHeight="1" spans="1:26">
      <c r="A189" s="233"/>
      <c r="B189" s="234"/>
      <c r="C189" s="233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12.75" customHeight="1" spans="1:26">
      <c r="A190" s="233"/>
      <c r="B190" s="234"/>
      <c r="C190" s="233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12.75" customHeight="1" spans="1:26">
      <c r="A191" s="233"/>
      <c r="B191" s="234"/>
      <c r="C191" s="233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12.75" customHeight="1" spans="1:26">
      <c r="A192" s="233"/>
      <c r="B192" s="234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12.75" customHeight="1" spans="1:26">
      <c r="A193" s="233"/>
      <c r="B193" s="234"/>
      <c r="C193" s="233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12.75" customHeight="1" spans="1:26">
      <c r="A194" s="233"/>
      <c r="B194" s="234"/>
      <c r="C194" s="233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12.75" customHeight="1" spans="1:26">
      <c r="A195" s="233"/>
      <c r="B195" s="234"/>
      <c r="C195" s="233"/>
      <c r="D195" s="233"/>
      <c r="E195" s="233"/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12.75" customHeight="1" spans="1:26">
      <c r="A196" s="233"/>
      <c r="B196" s="234"/>
      <c r="C196" s="233"/>
      <c r="D196" s="233"/>
      <c r="E196" s="233"/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12.75" customHeight="1" spans="1:26">
      <c r="A197" s="233"/>
      <c r="B197" s="234"/>
      <c r="C197" s="233"/>
      <c r="D197" s="233"/>
      <c r="E197" s="233"/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12.75" customHeight="1" spans="1:26">
      <c r="A198" s="233"/>
      <c r="B198" s="234"/>
      <c r="C198" s="233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12.75" customHeight="1" spans="1:26">
      <c r="A199" s="233"/>
      <c r="B199" s="234"/>
      <c r="C199" s="233"/>
      <c r="D199" s="233"/>
      <c r="E199" s="233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12.75" customHeight="1" spans="1:26">
      <c r="A200" s="233"/>
      <c r="B200" s="234"/>
      <c r="C200" s="233"/>
      <c r="D200" s="233"/>
      <c r="E200" s="233"/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12.75" customHeight="1" spans="1:26">
      <c r="A201" s="233"/>
      <c r="B201" s="234"/>
      <c r="C201" s="233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12.75" customHeight="1" spans="1:26">
      <c r="A202" s="233"/>
      <c r="B202" s="234"/>
      <c r="C202" s="233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12.75" customHeight="1" spans="1:26">
      <c r="A203" s="233"/>
      <c r="B203" s="234"/>
      <c r="C203" s="233"/>
      <c r="D203" s="233"/>
      <c r="E203" s="233"/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12.75" customHeight="1" spans="1:26">
      <c r="A204" s="233"/>
      <c r="B204" s="234"/>
      <c r="C204" s="233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12.75" customHeight="1" spans="1:26">
      <c r="A205" s="233"/>
      <c r="B205" s="234"/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12.75" customHeight="1" spans="1:26">
      <c r="A206" s="233"/>
      <c r="B206" s="234"/>
      <c r="C206" s="233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12.75" customHeight="1" spans="1:26">
      <c r="A207" s="233"/>
      <c r="B207" s="234"/>
      <c r="C207" s="233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12.75" customHeight="1" spans="1:26">
      <c r="A208" s="233"/>
      <c r="B208" s="234"/>
      <c r="C208" s="233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12.75" customHeight="1" spans="1:26">
      <c r="A209" s="233"/>
      <c r="B209" s="234"/>
      <c r="C209" s="233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12.75" customHeight="1" spans="1:26">
      <c r="A210" s="233"/>
      <c r="B210" s="234"/>
      <c r="C210" s="233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12.75" customHeight="1" spans="1:26">
      <c r="A211" s="233"/>
      <c r="B211" s="234"/>
      <c r="C211" s="233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12.75" customHeight="1" spans="1:26">
      <c r="A212" s="233"/>
      <c r="B212" s="234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12.75" customHeight="1" spans="1:26">
      <c r="A213" s="233"/>
      <c r="B213" s="234"/>
      <c r="C213" s="233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12.75" customHeight="1" spans="1:26">
      <c r="A214" s="233"/>
      <c r="B214" s="234"/>
      <c r="C214" s="233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12.75" customHeight="1" spans="1:26">
      <c r="A215" s="233"/>
      <c r="B215" s="234"/>
      <c r="C215" s="233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12.75" customHeight="1" spans="1:26">
      <c r="A216" s="233"/>
      <c r="B216" s="234"/>
      <c r="C216" s="233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12.75" customHeight="1" spans="1:26">
      <c r="A217" s="233"/>
      <c r="B217" s="234"/>
      <c r="C217" s="233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12.75" customHeight="1" spans="1:26">
      <c r="A218" s="233"/>
      <c r="B218" s="234"/>
      <c r="C218" s="233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12.75" customHeight="1" spans="1:26">
      <c r="A219" s="233"/>
      <c r="B219" s="234"/>
      <c r="C219" s="233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12.75" customHeight="1" spans="1:26">
      <c r="A220" s="233"/>
      <c r="B220" s="234"/>
      <c r="C220" s="233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12.75" customHeight="1" spans="1:26">
      <c r="A221" s="233"/>
      <c r="B221" s="234"/>
      <c r="C221" s="233"/>
      <c r="D221" s="233"/>
      <c r="E221" s="233"/>
      <c r="F221" s="233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12.75" customHeight="1" spans="1:26">
      <c r="A222" s="233"/>
      <c r="B222" s="234"/>
      <c r="C222" s="233"/>
      <c r="D222" s="233"/>
      <c r="E222" s="233"/>
      <c r="F222" s="233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12.75" customHeight="1" spans="1:26">
      <c r="A223" s="233"/>
      <c r="B223" s="234"/>
      <c r="C223" s="233"/>
      <c r="D223" s="233"/>
      <c r="E223" s="233"/>
      <c r="F223" s="233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12.75" customHeight="1" spans="1:26">
      <c r="A224" s="233"/>
      <c r="B224" s="234"/>
      <c r="C224" s="233"/>
      <c r="D224" s="233"/>
      <c r="E224" s="233"/>
      <c r="F224" s="233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12.75" customHeight="1" spans="1:26">
      <c r="A225" s="233"/>
      <c r="B225" s="234"/>
      <c r="C225" s="233"/>
      <c r="D225" s="233"/>
      <c r="E225" s="233"/>
      <c r="F225" s="233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F10:G10"/>
    <mergeCell ref="F11:G11"/>
    <mergeCell ref="F12:G12"/>
    <mergeCell ref="B14:C14"/>
    <mergeCell ref="C15:F15"/>
    <mergeCell ref="C16:F16"/>
    <mergeCell ref="C17:F17"/>
    <mergeCell ref="C18:F18"/>
    <mergeCell ref="C19:F19"/>
    <mergeCell ref="C20:F20"/>
    <mergeCell ref="C21:F21"/>
    <mergeCell ref="B23:C23"/>
    <mergeCell ref="B24:E24"/>
    <mergeCell ref="B25:E25"/>
    <mergeCell ref="B26:E26"/>
  </mergeCells>
  <pageMargins left="0.7" right="0.7" top="0.75" bottom="0.75" header="0" footer="0"/>
  <pageSetup paperSize="1" orientation="landscape"/>
  <headerFooter>
    <oddHeader>&amp;Rv0.1</oddHeader>
    <oddFooter>&amp;LFsoft-HCM-G36TP&amp;CInternal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0"/>
  <sheetViews>
    <sheetView topLeftCell="A23" workbookViewId="0">
      <selection activeCell="A1" sqref="A1"/>
    </sheetView>
  </sheetViews>
  <sheetFormatPr defaultColWidth="14.4285714285714" defaultRowHeight="15" customHeight="1"/>
  <cols>
    <col min="1" max="1" width="2.85714285714286" customWidth="1"/>
    <col min="2" max="2" width="5" customWidth="1"/>
    <col min="3" max="3" width="57.8571428571429" customWidth="1"/>
    <col min="4" max="4" width="15.8571428571429" customWidth="1"/>
    <col min="5" max="5" width="60.8571428571429" customWidth="1"/>
    <col min="6" max="6" width="12" customWidth="1"/>
    <col min="7" max="7" width="10.1428571428571" customWidth="1"/>
    <col min="8" max="25" width="8" customWidth="1"/>
  </cols>
  <sheetData>
    <row r="1" ht="12.75" customHeight="1" spans="1:25">
      <c r="A1" s="33"/>
      <c r="B1" s="33"/>
      <c r="C1" s="33"/>
      <c r="D1" s="21"/>
      <c r="E1" s="21"/>
      <c r="F1" s="21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ht="26.25" customHeight="1" spans="1:25">
      <c r="A2" s="194" t="s">
        <v>28</v>
      </c>
      <c r="F2" s="10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ht="13.5" customHeight="1" spans="6:25">
      <c r="F3" s="21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ht="13.5" customHeight="1" spans="1:25">
      <c r="A4" s="33"/>
      <c r="B4" s="5" t="s">
        <v>43</v>
      </c>
      <c r="C4" s="137"/>
      <c r="D4" s="21"/>
      <c r="E4" s="21"/>
      <c r="F4" s="21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ht="13.5" customHeight="1" spans="1:25">
      <c r="A5" s="33"/>
      <c r="B5" s="44" t="s">
        <v>44</v>
      </c>
      <c r="C5" s="55"/>
      <c r="D5" s="21"/>
      <c r="E5" s="21"/>
      <c r="F5" s="21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ht="12.75" customHeight="1" spans="1:25">
      <c r="A6" s="33"/>
      <c r="B6" s="195" t="s">
        <v>45</v>
      </c>
      <c r="C6" s="196" t="s">
        <v>24</v>
      </c>
      <c r="D6" s="197" t="s">
        <v>46</v>
      </c>
      <c r="E6" s="198" t="s">
        <v>25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12.75" customHeight="1" spans="1:25">
      <c r="A7" s="33"/>
      <c r="B7" s="199">
        <v>1</v>
      </c>
      <c r="C7" s="9"/>
      <c r="D7" s="200"/>
      <c r="E7" s="201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ht="12.75" customHeight="1" spans="1:25">
      <c r="A8" s="33"/>
      <c r="B8" s="202">
        <v>2</v>
      </c>
      <c r="C8" s="11"/>
      <c r="D8" s="203"/>
      <c r="E8" s="204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ht="12.75" customHeight="1" spans="1:25">
      <c r="A9" s="33"/>
      <c r="B9" s="33"/>
      <c r="C9" s="33"/>
      <c r="D9" s="21"/>
      <c r="E9" s="21"/>
      <c r="F9" s="21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ht="12.75" customHeight="1" spans="1:25">
      <c r="A10" s="33"/>
      <c r="B10" s="33"/>
      <c r="C10" s="33"/>
      <c r="D10" s="21"/>
      <c r="E10" s="21"/>
      <c r="F10" s="21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ht="12.75" customHeight="1" spans="1:25">
      <c r="A11" s="33"/>
      <c r="B11" s="5" t="s">
        <v>47</v>
      </c>
      <c r="C11" s="137"/>
      <c r="D11" s="21"/>
      <c r="E11" s="21"/>
      <c r="F11" s="21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ht="13.5" customHeight="1" spans="1:25">
      <c r="A12" s="33"/>
      <c r="B12" s="44" t="s">
        <v>48</v>
      </c>
      <c r="C12" s="55"/>
      <c r="D12" s="21"/>
      <c r="E12" s="21"/>
      <c r="F12" s="21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ht="13.5" customHeight="1" spans="1:25">
      <c r="A13" s="33"/>
      <c r="B13" s="195" t="s">
        <v>45</v>
      </c>
      <c r="C13" s="196" t="s">
        <v>49</v>
      </c>
      <c r="D13" s="196" t="s">
        <v>25</v>
      </c>
      <c r="E13" s="205"/>
      <c r="F13" s="206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ht="13.5" customHeight="1" spans="1:25">
      <c r="A14" s="33"/>
      <c r="B14" s="199">
        <v>1</v>
      </c>
      <c r="C14" s="187"/>
      <c r="D14" s="64"/>
      <c r="E14" s="207"/>
      <c r="F14" s="206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ht="13.5" customHeight="1" spans="1:25">
      <c r="A15" s="33"/>
      <c r="B15" s="208">
        <v>2</v>
      </c>
      <c r="C15" s="209"/>
      <c r="D15" s="67"/>
      <c r="E15" s="210"/>
      <c r="F15" s="206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ht="13.5" customHeight="1" spans="1:25">
      <c r="A16" s="33"/>
      <c r="B16" s="76"/>
      <c r="C16" s="33"/>
      <c r="D16" s="211"/>
      <c r="E16" s="211"/>
      <c r="F16" s="206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ht="12.75" customHeight="1" spans="1:25">
      <c r="A17" s="33"/>
      <c r="B17" s="5" t="s">
        <v>50</v>
      </c>
      <c r="C17" s="137"/>
      <c r="D17" s="21"/>
      <c r="E17" s="21"/>
      <c r="F17" s="2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ht="13.5" customHeight="1" spans="1:25">
      <c r="A18" s="33"/>
      <c r="B18" s="44" t="s">
        <v>51</v>
      </c>
      <c r="C18" s="55"/>
      <c r="D18" s="21"/>
      <c r="E18" s="21"/>
      <c r="F18" s="21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ht="13.5" customHeight="1" spans="1:25">
      <c r="A19" s="33"/>
      <c r="B19" s="195" t="s">
        <v>45</v>
      </c>
      <c r="C19" s="196" t="s">
        <v>49</v>
      </c>
      <c r="D19" s="212" t="s">
        <v>52</v>
      </c>
      <c r="E19" s="213" t="s">
        <v>25</v>
      </c>
      <c r="F19" s="206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ht="13.5" customHeight="1" spans="1:25">
      <c r="A20" s="33"/>
      <c r="B20" s="214"/>
      <c r="C20" s="215"/>
      <c r="D20" s="216"/>
      <c r="E20" s="217"/>
      <c r="F20" s="21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13.5" customHeight="1" spans="1:25">
      <c r="A21" s="33"/>
      <c r="B21" s="214"/>
      <c r="C21" s="126"/>
      <c r="D21" s="218"/>
      <c r="E21" s="219"/>
      <c r="F21" s="21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12.75" customHeight="1" spans="1:25">
      <c r="A22" s="33"/>
      <c r="B22" s="33"/>
      <c r="C22" s="33"/>
      <c r="D22" s="21"/>
      <c r="E22" s="21"/>
      <c r="F22" s="21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ht="12.75" customHeight="1" spans="1:25">
      <c r="A23" s="33"/>
      <c r="B23" s="5" t="s">
        <v>53</v>
      </c>
      <c r="C23" s="21"/>
      <c r="D23" s="21"/>
      <c r="E23" s="21"/>
      <c r="F23" s="21"/>
      <c r="G23" s="21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ht="13.5" customHeight="1" spans="1:25">
      <c r="A24" s="33"/>
      <c r="B24" s="44" t="s">
        <v>54</v>
      </c>
      <c r="C24" s="21"/>
      <c r="D24" s="21"/>
      <c r="E24" s="21"/>
      <c r="F24" s="21"/>
      <c r="G24" s="21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ht="16.5" customHeight="1" spans="1:25">
      <c r="A25" s="33"/>
      <c r="B25" s="195" t="s">
        <v>45</v>
      </c>
      <c r="C25" s="196" t="s">
        <v>55</v>
      </c>
      <c r="D25" s="197" t="s">
        <v>56</v>
      </c>
      <c r="E25" s="198" t="s">
        <v>25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ht="33.75" customHeight="1" spans="1:25">
      <c r="A26" s="33"/>
      <c r="B26" s="220">
        <v>1</v>
      </c>
      <c r="C26" s="122" t="s">
        <v>57</v>
      </c>
      <c r="D26" s="221"/>
      <c r="E26" s="222" t="s">
        <v>58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ht="12.75" customHeight="1" spans="1:25">
      <c r="A27" s="33"/>
      <c r="B27" s="119">
        <v>2</v>
      </c>
      <c r="C27" s="223" t="s">
        <v>59</v>
      </c>
      <c r="D27" s="221"/>
      <c r="E27" s="22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ht="21.75" customHeight="1" spans="1:25">
      <c r="A28" s="33"/>
      <c r="B28" s="224">
        <v>3</v>
      </c>
      <c r="C28" s="219" t="s">
        <v>60</v>
      </c>
      <c r="D28" s="119"/>
      <c r="E28" s="219"/>
      <c r="F28" s="21"/>
      <c r="G28" s="21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ht="12.75" customHeight="1" spans="1:25">
      <c r="A29" s="33"/>
      <c r="B29" s="33"/>
      <c r="C29" s="21"/>
      <c r="D29" s="21"/>
      <c r="E29" s="21"/>
      <c r="F29" s="21"/>
      <c r="G29" s="21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ht="12.75" customHeight="1" spans="1:25">
      <c r="A30" s="33"/>
      <c r="B30" s="5" t="s">
        <v>61</v>
      </c>
      <c r="C30" s="21"/>
      <c r="D30" s="21"/>
      <c r="E30" s="21"/>
      <c r="F30" s="21"/>
      <c r="G30" s="21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ht="13.5" customHeight="1" spans="1:25">
      <c r="A31" s="33"/>
      <c r="B31" s="44" t="s">
        <v>62</v>
      </c>
      <c r="C31" s="21"/>
      <c r="D31" s="21"/>
      <c r="E31" s="21"/>
      <c r="F31" s="21"/>
      <c r="G31" s="21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customHeight="1" spans="1:25">
      <c r="A32" s="33"/>
      <c r="B32" s="195" t="s">
        <v>45</v>
      </c>
      <c r="C32" s="196" t="s">
        <v>63</v>
      </c>
      <c r="D32" s="196" t="s">
        <v>25</v>
      </c>
      <c r="E32" s="205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ht="33" customHeight="1" spans="1:25">
      <c r="A33" s="21"/>
      <c r="B33" s="225">
        <v>1</v>
      </c>
      <c r="C33" s="122" t="s">
        <v>64</v>
      </c>
      <c r="D33" s="67"/>
      <c r="E33" s="21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ht="31.5" customHeight="1" spans="1:25">
      <c r="A34" s="21"/>
      <c r="B34" s="225">
        <v>2</v>
      </c>
      <c r="C34" s="122" t="s">
        <v>65</v>
      </c>
      <c r="D34" s="226"/>
      <c r="E34" s="227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ht="15.75" customHeight="1" spans="1:25">
      <c r="A35" s="21"/>
      <c r="B35" s="225">
        <v>3</v>
      </c>
      <c r="C35" s="122" t="s">
        <v>66</v>
      </c>
      <c r="D35" s="226"/>
      <c r="E35" s="227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customHeight="1" spans="1:25">
      <c r="A36" s="21"/>
      <c r="B36" s="225">
        <v>4</v>
      </c>
      <c r="C36" s="122" t="s">
        <v>67</v>
      </c>
      <c r="D36" s="228"/>
      <c r="E36" s="229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customHeight="1" spans="1:25">
      <c r="A37" s="33"/>
      <c r="B37" s="230" t="s">
        <v>45</v>
      </c>
      <c r="C37" s="60" t="s">
        <v>68</v>
      </c>
      <c r="D37" s="60" t="s">
        <v>25</v>
      </c>
      <c r="E37" s="231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ht="12.75" customHeight="1" spans="1:25">
      <c r="A38" s="21"/>
      <c r="B38" s="232">
        <v>1</v>
      </c>
      <c r="C38" s="122" t="s">
        <v>69</v>
      </c>
      <c r="D38" s="73"/>
      <c r="E38" s="229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ht="12.75" customHeight="1" spans="1:25">
      <c r="A39" s="33"/>
      <c r="B39" s="33"/>
      <c r="C39" s="33"/>
      <c r="D39" s="21"/>
      <c r="E39" s="21"/>
      <c r="F39" s="21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ht="12.75" customHeight="1" spans="1:25">
      <c r="A40" s="33"/>
      <c r="B40" s="33"/>
      <c r="C40" s="33"/>
      <c r="D40" s="21"/>
      <c r="E40" s="21"/>
      <c r="F40" s="21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ht="12.75" customHeight="1" spans="1:25">
      <c r="A41" s="33"/>
      <c r="B41" s="33"/>
      <c r="C41" s="33"/>
      <c r="D41" s="21"/>
      <c r="E41" s="21"/>
      <c r="F41" s="21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ht="12.75" customHeight="1" spans="1:25">
      <c r="A42" s="33"/>
      <c r="B42" s="33"/>
      <c r="C42" s="33"/>
      <c r="D42" s="21"/>
      <c r="E42" s="21"/>
      <c r="F42" s="21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ht="12.75" customHeight="1" spans="1:25">
      <c r="A43" s="33"/>
      <c r="B43" s="33"/>
      <c r="C43" s="33"/>
      <c r="D43" s="21"/>
      <c r="E43" s="21"/>
      <c r="F43" s="21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ht="12.75" customHeight="1" spans="1:25">
      <c r="A44" s="33"/>
      <c r="B44" s="33"/>
      <c r="C44" s="33"/>
      <c r="D44" s="21"/>
      <c r="E44" s="21"/>
      <c r="F44" s="21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ht="12.75" customHeight="1" spans="1:25">
      <c r="A45" s="33"/>
      <c r="B45" s="33"/>
      <c r="C45" s="33"/>
      <c r="D45" s="21"/>
      <c r="E45" s="21"/>
      <c r="F45" s="21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ht="12.75" customHeight="1" spans="1:25">
      <c r="A46" s="33"/>
      <c r="B46" s="33"/>
      <c r="C46" s="33"/>
      <c r="D46" s="21"/>
      <c r="E46" s="21"/>
      <c r="F46" s="21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ht="12.75" customHeight="1" spans="1:25">
      <c r="A47" s="33"/>
      <c r="B47" s="33"/>
      <c r="C47" s="33"/>
      <c r="D47" s="21"/>
      <c r="E47" s="21"/>
      <c r="F47" s="21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ht="12.75" customHeight="1" spans="1:25">
      <c r="A48" s="33"/>
      <c r="B48" s="33"/>
      <c r="C48" s="33"/>
      <c r="D48" s="21"/>
      <c r="E48" s="21"/>
      <c r="F48" s="21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ht="12.75" customHeight="1" spans="1:25">
      <c r="A49" s="33"/>
      <c r="B49" s="33"/>
      <c r="C49" s="33"/>
      <c r="D49" s="21"/>
      <c r="E49" s="21"/>
      <c r="F49" s="21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ht="12.75" customHeight="1" spans="1:25">
      <c r="A50" s="33"/>
      <c r="B50" s="33"/>
      <c r="C50" s="33"/>
      <c r="D50" s="21"/>
      <c r="E50" s="21"/>
      <c r="F50" s="21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ht="12.75" customHeight="1" spans="1:25">
      <c r="A51" s="33"/>
      <c r="B51" s="33"/>
      <c r="C51" s="33"/>
      <c r="D51" s="21"/>
      <c r="E51" s="21"/>
      <c r="F51" s="21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ht="12.75" customHeight="1" spans="1:25">
      <c r="A52" s="33"/>
      <c r="B52" s="33"/>
      <c r="C52" s="33"/>
      <c r="D52" s="21"/>
      <c r="E52" s="21"/>
      <c r="F52" s="21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ht="12.75" customHeight="1" spans="1:25">
      <c r="A53" s="33"/>
      <c r="B53" s="33"/>
      <c r="C53" s="33"/>
      <c r="D53" s="21"/>
      <c r="E53" s="21"/>
      <c r="F53" s="21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ht="12.75" customHeight="1" spans="1:25">
      <c r="A54" s="33"/>
      <c r="B54" s="33"/>
      <c r="C54" s="33"/>
      <c r="D54" s="21"/>
      <c r="E54" s="21"/>
      <c r="F54" s="21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ht="12.75" customHeight="1" spans="1:25">
      <c r="A55" s="33"/>
      <c r="B55" s="33"/>
      <c r="C55" s="33"/>
      <c r="D55" s="21"/>
      <c r="E55" s="21"/>
      <c r="F55" s="21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ht="12.75" customHeight="1" spans="1:25">
      <c r="A56" s="33"/>
      <c r="B56" s="33"/>
      <c r="C56" s="33"/>
      <c r="D56" s="21"/>
      <c r="E56" s="21"/>
      <c r="F56" s="21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ht="12.75" customHeight="1" spans="1:25">
      <c r="A57" s="33"/>
      <c r="B57" s="33"/>
      <c r="C57" s="33"/>
      <c r="D57" s="21"/>
      <c r="E57" s="21"/>
      <c r="F57" s="21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ht="12.75" customHeight="1" spans="1:25">
      <c r="A58" s="33"/>
      <c r="B58" s="33"/>
      <c r="C58" s="33"/>
      <c r="D58" s="21"/>
      <c r="E58" s="21"/>
      <c r="F58" s="21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ht="12.75" customHeight="1" spans="1:25">
      <c r="A59" s="33"/>
      <c r="B59" s="33"/>
      <c r="C59" s="33"/>
      <c r="D59" s="21"/>
      <c r="E59" s="21"/>
      <c r="F59" s="21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ht="12.75" customHeight="1" spans="1:25">
      <c r="A60" s="33"/>
      <c r="B60" s="33"/>
      <c r="C60" s="33"/>
      <c r="D60" s="21"/>
      <c r="E60" s="21"/>
      <c r="F60" s="21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ht="12.75" customHeight="1" spans="1:25">
      <c r="A61" s="33"/>
      <c r="B61" s="33"/>
      <c r="C61" s="33"/>
      <c r="D61" s="21"/>
      <c r="E61" s="21"/>
      <c r="F61" s="21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ht="12.75" customHeight="1" spans="1:25">
      <c r="A62" s="33"/>
      <c r="B62" s="33"/>
      <c r="C62" s="33"/>
      <c r="D62" s="21"/>
      <c r="E62" s="21"/>
      <c r="F62" s="21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ht="12.75" customHeight="1" spans="1:25">
      <c r="A63" s="33"/>
      <c r="B63" s="33"/>
      <c r="C63" s="33"/>
      <c r="D63" s="21"/>
      <c r="E63" s="21"/>
      <c r="F63" s="21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ht="12.75" customHeight="1" spans="1:25">
      <c r="A64" s="33"/>
      <c r="B64" s="33"/>
      <c r="C64" s="33"/>
      <c r="D64" s="21"/>
      <c r="E64" s="21"/>
      <c r="F64" s="21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ht="12.75" customHeight="1" spans="1:25">
      <c r="A65" s="33"/>
      <c r="B65" s="33"/>
      <c r="C65" s="33"/>
      <c r="D65" s="21"/>
      <c r="E65" s="21"/>
      <c r="F65" s="21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ht="12.75" customHeight="1" spans="1:25">
      <c r="A66" s="33"/>
      <c r="B66" s="33"/>
      <c r="C66" s="33"/>
      <c r="D66" s="21"/>
      <c r="E66" s="21"/>
      <c r="F66" s="21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ht="12.75" customHeight="1" spans="1:25">
      <c r="A67" s="33"/>
      <c r="B67" s="33"/>
      <c r="C67" s="33"/>
      <c r="D67" s="21"/>
      <c r="E67" s="21"/>
      <c r="F67" s="21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ht="12.75" customHeight="1" spans="1:25">
      <c r="A68" s="33"/>
      <c r="B68" s="33"/>
      <c r="C68" s="33"/>
      <c r="D68" s="21"/>
      <c r="E68" s="21"/>
      <c r="F68" s="21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ht="12.75" customHeight="1" spans="1:25">
      <c r="A69" s="33"/>
      <c r="B69" s="33"/>
      <c r="C69" s="33"/>
      <c r="D69" s="21"/>
      <c r="E69" s="21"/>
      <c r="F69" s="21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ht="12.75" customHeight="1" spans="1:25">
      <c r="A70" s="33"/>
      <c r="B70" s="33"/>
      <c r="C70" s="33"/>
      <c r="D70" s="21"/>
      <c r="E70" s="21"/>
      <c r="F70" s="21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ht="12.75" customHeight="1" spans="1:25">
      <c r="A71" s="33"/>
      <c r="B71" s="33"/>
      <c r="C71" s="33"/>
      <c r="D71" s="21"/>
      <c r="E71" s="21"/>
      <c r="F71" s="21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ht="12.75" customHeight="1" spans="1:25">
      <c r="A72" s="33"/>
      <c r="B72" s="33"/>
      <c r="C72" s="33"/>
      <c r="D72" s="21"/>
      <c r="E72" s="21"/>
      <c r="F72" s="21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ht="12.75" customHeight="1" spans="1:25">
      <c r="A73" s="33"/>
      <c r="B73" s="33"/>
      <c r="C73" s="33"/>
      <c r="D73" s="21"/>
      <c r="E73" s="21"/>
      <c r="F73" s="21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ht="12.75" customHeight="1" spans="1:25">
      <c r="A74" s="33"/>
      <c r="B74" s="33"/>
      <c r="C74" s="33"/>
      <c r="D74" s="21"/>
      <c r="E74" s="21"/>
      <c r="F74" s="21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ht="12.75" customHeight="1" spans="1:25">
      <c r="A75" s="33"/>
      <c r="B75" s="33"/>
      <c r="C75" s="33"/>
      <c r="D75" s="21"/>
      <c r="E75" s="21"/>
      <c r="F75" s="21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ht="12.75" customHeight="1" spans="1:25">
      <c r="A76" s="33"/>
      <c r="B76" s="33"/>
      <c r="C76" s="33"/>
      <c r="D76" s="21"/>
      <c r="E76" s="21"/>
      <c r="F76" s="21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ht="12.75" customHeight="1" spans="1:25">
      <c r="A77" s="33"/>
      <c r="B77" s="33"/>
      <c r="C77" s="33"/>
      <c r="D77" s="21"/>
      <c r="E77" s="21"/>
      <c r="F77" s="21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ht="12.75" customHeight="1" spans="1:25">
      <c r="A78" s="33"/>
      <c r="B78" s="33"/>
      <c r="C78" s="33"/>
      <c r="D78" s="21"/>
      <c r="E78" s="21"/>
      <c r="F78" s="21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2.75" customHeight="1" spans="1:25">
      <c r="A79" s="33"/>
      <c r="B79" s="33"/>
      <c r="C79" s="33"/>
      <c r="D79" s="21"/>
      <c r="E79" s="21"/>
      <c r="F79" s="21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ht="12.75" customHeight="1" spans="1:25">
      <c r="A80" s="33"/>
      <c r="B80" s="33"/>
      <c r="C80" s="33"/>
      <c r="D80" s="21"/>
      <c r="E80" s="21"/>
      <c r="F80" s="21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ht="12.75" customHeight="1" spans="1:25">
      <c r="A81" s="33"/>
      <c r="B81" s="33"/>
      <c r="C81" s="33"/>
      <c r="D81" s="21"/>
      <c r="E81" s="21"/>
      <c r="F81" s="21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ht="12.75" customHeight="1" spans="1:25">
      <c r="A82" s="33"/>
      <c r="B82" s="33"/>
      <c r="C82" s="33"/>
      <c r="D82" s="21"/>
      <c r="E82" s="21"/>
      <c r="F82" s="21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ht="12.75" customHeight="1" spans="1:25">
      <c r="A83" s="33"/>
      <c r="B83" s="33"/>
      <c r="C83" s="33"/>
      <c r="D83" s="21"/>
      <c r="E83" s="21"/>
      <c r="F83" s="21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ht="12.75" customHeight="1" spans="1:25">
      <c r="A84" s="33"/>
      <c r="B84" s="33"/>
      <c r="C84" s="33"/>
      <c r="D84" s="21"/>
      <c r="E84" s="21"/>
      <c r="F84" s="21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ht="12.75" customHeight="1" spans="1:25">
      <c r="A85" s="33"/>
      <c r="B85" s="33"/>
      <c r="C85" s="33"/>
      <c r="D85" s="21"/>
      <c r="E85" s="21"/>
      <c r="F85" s="21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ht="12.75" customHeight="1" spans="1:25">
      <c r="A86" s="33"/>
      <c r="B86" s="33"/>
      <c r="C86" s="33"/>
      <c r="D86" s="21"/>
      <c r="E86" s="21"/>
      <c r="F86" s="21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ht="12.75" customHeight="1" spans="1:25">
      <c r="A87" s="33"/>
      <c r="B87" s="33"/>
      <c r="C87" s="33"/>
      <c r="D87" s="21"/>
      <c r="E87" s="21"/>
      <c r="F87" s="21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ht="12.75" customHeight="1" spans="1:25">
      <c r="A88" s="33"/>
      <c r="B88" s="33"/>
      <c r="C88" s="33"/>
      <c r="D88" s="21"/>
      <c r="E88" s="21"/>
      <c r="F88" s="21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ht="12.75" customHeight="1" spans="1:25">
      <c r="A89" s="33"/>
      <c r="B89" s="33"/>
      <c r="C89" s="33"/>
      <c r="D89" s="21"/>
      <c r="E89" s="21"/>
      <c r="F89" s="21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ht="12.75" customHeight="1" spans="1:25">
      <c r="A90" s="33"/>
      <c r="B90" s="33"/>
      <c r="C90" s="33"/>
      <c r="D90" s="21"/>
      <c r="E90" s="21"/>
      <c r="F90" s="21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ht="12.75" customHeight="1" spans="1:25">
      <c r="A91" s="33"/>
      <c r="B91" s="33"/>
      <c r="C91" s="33"/>
      <c r="D91" s="21"/>
      <c r="E91" s="21"/>
      <c r="F91" s="21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ht="12.75" customHeight="1" spans="1:25">
      <c r="A92" s="33"/>
      <c r="B92" s="33"/>
      <c r="C92" s="33"/>
      <c r="D92" s="21"/>
      <c r="E92" s="21"/>
      <c r="F92" s="21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ht="12.75" customHeight="1" spans="1:25">
      <c r="A93" s="33"/>
      <c r="B93" s="33"/>
      <c r="C93" s="33"/>
      <c r="D93" s="21"/>
      <c r="E93" s="21"/>
      <c r="F93" s="21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ht="12.75" customHeight="1" spans="1:25">
      <c r="A94" s="33"/>
      <c r="B94" s="33"/>
      <c r="C94" s="33"/>
      <c r="D94" s="21"/>
      <c r="E94" s="21"/>
      <c r="F94" s="21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ht="12.75" customHeight="1" spans="1:25">
      <c r="A95" s="33"/>
      <c r="B95" s="33"/>
      <c r="C95" s="33"/>
      <c r="D95" s="21"/>
      <c r="E95" s="21"/>
      <c r="F95" s="21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ht="12.75" customHeight="1" spans="1:25">
      <c r="A96" s="33"/>
      <c r="B96" s="33"/>
      <c r="C96" s="33"/>
      <c r="D96" s="21"/>
      <c r="E96" s="21"/>
      <c r="F96" s="21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ht="12.75" customHeight="1" spans="1:25">
      <c r="A97" s="33"/>
      <c r="B97" s="33"/>
      <c r="C97" s="33"/>
      <c r="D97" s="21"/>
      <c r="E97" s="21"/>
      <c r="F97" s="21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ht="12.75" customHeight="1" spans="1:25">
      <c r="A98" s="33"/>
      <c r="B98" s="33"/>
      <c r="C98" s="33"/>
      <c r="D98" s="21"/>
      <c r="E98" s="21"/>
      <c r="F98" s="21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ht="12.75" customHeight="1" spans="1:25">
      <c r="A99" s="33"/>
      <c r="B99" s="33"/>
      <c r="C99" s="33"/>
      <c r="D99" s="21"/>
      <c r="E99" s="21"/>
      <c r="F99" s="21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ht="12.75" customHeight="1" spans="1:25">
      <c r="A100" s="33"/>
      <c r="B100" s="33"/>
      <c r="C100" s="33"/>
      <c r="D100" s="21"/>
      <c r="E100" s="21"/>
      <c r="F100" s="21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ht="12.75" customHeight="1" spans="1:25">
      <c r="A101" s="33"/>
      <c r="B101" s="33"/>
      <c r="C101" s="33"/>
      <c r="D101" s="21"/>
      <c r="E101" s="21"/>
      <c r="F101" s="21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ht="12.75" customHeight="1" spans="1:25">
      <c r="A102" s="33"/>
      <c r="B102" s="33"/>
      <c r="C102" s="33"/>
      <c r="D102" s="21"/>
      <c r="E102" s="21"/>
      <c r="F102" s="21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ht="12.75" customHeight="1" spans="1:25">
      <c r="A103" s="33"/>
      <c r="B103" s="33"/>
      <c r="C103" s="33"/>
      <c r="D103" s="21"/>
      <c r="E103" s="21"/>
      <c r="F103" s="21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ht="12.75" customHeight="1" spans="1:25">
      <c r="A104" s="33"/>
      <c r="B104" s="33"/>
      <c r="C104" s="33"/>
      <c r="D104" s="21"/>
      <c r="E104" s="21"/>
      <c r="F104" s="21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ht="12.75" customHeight="1" spans="1:25">
      <c r="A105" s="33"/>
      <c r="B105" s="33"/>
      <c r="C105" s="33"/>
      <c r="D105" s="21"/>
      <c r="E105" s="21"/>
      <c r="F105" s="21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ht="12.75" customHeight="1" spans="1:25">
      <c r="A106" s="33"/>
      <c r="B106" s="33"/>
      <c r="C106" s="33"/>
      <c r="D106" s="21"/>
      <c r="E106" s="21"/>
      <c r="F106" s="21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ht="12.75" customHeight="1" spans="1:25">
      <c r="A107" s="33"/>
      <c r="B107" s="33"/>
      <c r="C107" s="33"/>
      <c r="D107" s="21"/>
      <c r="E107" s="21"/>
      <c r="F107" s="21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ht="12.75" customHeight="1" spans="1:25">
      <c r="A108" s="33"/>
      <c r="B108" s="33"/>
      <c r="C108" s="33"/>
      <c r="D108" s="21"/>
      <c r="E108" s="21"/>
      <c r="F108" s="21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ht="12.75" customHeight="1" spans="1:25">
      <c r="A109" s="33"/>
      <c r="B109" s="33"/>
      <c r="C109" s="33"/>
      <c r="D109" s="21"/>
      <c r="E109" s="21"/>
      <c r="F109" s="21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ht="12.75" customHeight="1" spans="1:25">
      <c r="A110" s="33"/>
      <c r="B110" s="33"/>
      <c r="C110" s="33"/>
      <c r="D110" s="21"/>
      <c r="E110" s="21"/>
      <c r="F110" s="21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ht="12.75" customHeight="1" spans="1:25">
      <c r="A111" s="33"/>
      <c r="B111" s="33"/>
      <c r="C111" s="33"/>
      <c r="D111" s="21"/>
      <c r="E111" s="21"/>
      <c r="F111" s="21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ht="12.75" customHeight="1" spans="1:25">
      <c r="A112" s="33"/>
      <c r="B112" s="33"/>
      <c r="C112" s="33"/>
      <c r="D112" s="21"/>
      <c r="E112" s="21"/>
      <c r="F112" s="21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ht="12.75" customHeight="1" spans="1:25">
      <c r="A113" s="33"/>
      <c r="B113" s="33"/>
      <c r="C113" s="33"/>
      <c r="D113" s="21"/>
      <c r="E113" s="21"/>
      <c r="F113" s="21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ht="12.75" customHeight="1" spans="1:25">
      <c r="A114" s="33"/>
      <c r="B114" s="33"/>
      <c r="C114" s="33"/>
      <c r="D114" s="21"/>
      <c r="E114" s="21"/>
      <c r="F114" s="21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ht="12.75" customHeight="1" spans="1:25">
      <c r="A115" s="33"/>
      <c r="B115" s="33"/>
      <c r="C115" s="33"/>
      <c r="D115" s="21"/>
      <c r="E115" s="21"/>
      <c r="F115" s="21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ht="12.75" customHeight="1" spans="1:25">
      <c r="A116" s="33"/>
      <c r="B116" s="33"/>
      <c r="C116" s="33"/>
      <c r="D116" s="21"/>
      <c r="E116" s="21"/>
      <c r="F116" s="21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ht="12.75" customHeight="1" spans="1:25">
      <c r="A117" s="33"/>
      <c r="B117" s="33"/>
      <c r="C117" s="33"/>
      <c r="D117" s="21"/>
      <c r="E117" s="21"/>
      <c r="F117" s="21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ht="12.75" customHeight="1" spans="1:25">
      <c r="A118" s="33"/>
      <c r="B118" s="33"/>
      <c r="C118" s="33"/>
      <c r="D118" s="21"/>
      <c r="E118" s="21"/>
      <c r="F118" s="21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ht="12.75" customHeight="1" spans="1:25">
      <c r="A119" s="33"/>
      <c r="B119" s="33"/>
      <c r="C119" s="33"/>
      <c r="D119" s="21"/>
      <c r="E119" s="21"/>
      <c r="F119" s="21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ht="12.75" customHeight="1" spans="1:25">
      <c r="A120" s="33"/>
      <c r="B120" s="33"/>
      <c r="C120" s="33"/>
      <c r="D120" s="21"/>
      <c r="E120" s="21"/>
      <c r="F120" s="21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ht="12.75" customHeight="1" spans="1:25">
      <c r="A121" s="33"/>
      <c r="B121" s="33"/>
      <c r="C121" s="33"/>
      <c r="D121" s="21"/>
      <c r="E121" s="21"/>
      <c r="F121" s="21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ht="12.75" customHeight="1" spans="1:25">
      <c r="A122" s="33"/>
      <c r="B122" s="33"/>
      <c r="C122" s="33"/>
      <c r="D122" s="21"/>
      <c r="E122" s="21"/>
      <c r="F122" s="21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ht="12.75" customHeight="1" spans="1:25">
      <c r="A123" s="33"/>
      <c r="B123" s="33"/>
      <c r="C123" s="33"/>
      <c r="D123" s="21"/>
      <c r="E123" s="21"/>
      <c r="F123" s="21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ht="12.75" customHeight="1" spans="1:25">
      <c r="A124" s="33"/>
      <c r="B124" s="33"/>
      <c r="C124" s="33"/>
      <c r="D124" s="21"/>
      <c r="E124" s="21"/>
      <c r="F124" s="21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ht="12.75" customHeight="1" spans="1:25">
      <c r="A125" s="33"/>
      <c r="B125" s="33"/>
      <c r="C125" s="33"/>
      <c r="D125" s="21"/>
      <c r="E125" s="21"/>
      <c r="F125" s="21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ht="12.75" customHeight="1" spans="1:25">
      <c r="A126" s="33"/>
      <c r="B126" s="33"/>
      <c r="C126" s="33"/>
      <c r="D126" s="21"/>
      <c r="E126" s="21"/>
      <c r="F126" s="21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ht="12.75" customHeight="1" spans="1:25">
      <c r="A127" s="33"/>
      <c r="B127" s="33"/>
      <c r="C127" s="33"/>
      <c r="D127" s="21"/>
      <c r="E127" s="21"/>
      <c r="F127" s="21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ht="12.75" customHeight="1" spans="1:25">
      <c r="A128" s="33"/>
      <c r="B128" s="33"/>
      <c r="C128" s="33"/>
      <c r="D128" s="21"/>
      <c r="E128" s="21"/>
      <c r="F128" s="21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ht="12.75" customHeight="1" spans="1:25">
      <c r="A129" s="33"/>
      <c r="B129" s="33"/>
      <c r="C129" s="33"/>
      <c r="D129" s="21"/>
      <c r="E129" s="21"/>
      <c r="F129" s="21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ht="12.75" customHeight="1" spans="1:25">
      <c r="A130" s="33"/>
      <c r="B130" s="33"/>
      <c r="C130" s="33"/>
      <c r="D130" s="21"/>
      <c r="E130" s="21"/>
      <c r="F130" s="21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ht="12.75" customHeight="1" spans="1:25">
      <c r="A131" s="33"/>
      <c r="B131" s="33"/>
      <c r="C131" s="33"/>
      <c r="D131" s="21"/>
      <c r="E131" s="21"/>
      <c r="F131" s="21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ht="12.75" customHeight="1" spans="1:25">
      <c r="A132" s="33"/>
      <c r="B132" s="33"/>
      <c r="C132" s="33"/>
      <c r="D132" s="21"/>
      <c r="E132" s="21"/>
      <c r="F132" s="21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ht="12.75" customHeight="1" spans="1:25">
      <c r="A133" s="33"/>
      <c r="B133" s="33"/>
      <c r="C133" s="33"/>
      <c r="D133" s="21"/>
      <c r="E133" s="21"/>
      <c r="F133" s="21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ht="12.75" customHeight="1" spans="1:25">
      <c r="A134" s="33"/>
      <c r="B134" s="33"/>
      <c r="C134" s="33"/>
      <c r="D134" s="21"/>
      <c r="E134" s="21"/>
      <c r="F134" s="21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ht="12.75" customHeight="1" spans="1:25">
      <c r="A135" s="33"/>
      <c r="B135" s="33"/>
      <c r="C135" s="33"/>
      <c r="D135" s="21"/>
      <c r="E135" s="21"/>
      <c r="F135" s="21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ht="12.75" customHeight="1" spans="1:25">
      <c r="A136" s="33"/>
      <c r="B136" s="33"/>
      <c r="C136" s="33"/>
      <c r="D136" s="21"/>
      <c r="E136" s="21"/>
      <c r="F136" s="21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ht="12.75" customHeight="1" spans="1:25">
      <c r="A137" s="33"/>
      <c r="B137" s="33"/>
      <c r="C137" s="33"/>
      <c r="D137" s="21"/>
      <c r="E137" s="21"/>
      <c r="F137" s="21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ht="12.75" customHeight="1" spans="1:25">
      <c r="A138" s="33"/>
      <c r="B138" s="33"/>
      <c r="C138" s="33"/>
      <c r="D138" s="21"/>
      <c r="E138" s="21"/>
      <c r="F138" s="21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ht="12.75" customHeight="1" spans="1:25">
      <c r="A139" s="33"/>
      <c r="B139" s="33"/>
      <c r="C139" s="33"/>
      <c r="D139" s="21"/>
      <c r="E139" s="21"/>
      <c r="F139" s="21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ht="12.75" customHeight="1" spans="1:25">
      <c r="A140" s="33"/>
      <c r="B140" s="33"/>
      <c r="C140" s="33"/>
      <c r="D140" s="21"/>
      <c r="E140" s="21"/>
      <c r="F140" s="21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ht="12.75" customHeight="1" spans="1:25">
      <c r="A141" s="33"/>
      <c r="B141" s="33"/>
      <c r="C141" s="33"/>
      <c r="D141" s="21"/>
      <c r="E141" s="21"/>
      <c r="F141" s="21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ht="12.75" customHeight="1" spans="1:25">
      <c r="A142" s="33"/>
      <c r="B142" s="33"/>
      <c r="C142" s="33"/>
      <c r="D142" s="21"/>
      <c r="E142" s="21"/>
      <c r="F142" s="21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ht="12.75" customHeight="1" spans="1:25">
      <c r="A143" s="33"/>
      <c r="B143" s="33"/>
      <c r="C143" s="33"/>
      <c r="D143" s="21"/>
      <c r="E143" s="21"/>
      <c r="F143" s="21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ht="12.75" customHeight="1" spans="1:25">
      <c r="A144" s="33"/>
      <c r="B144" s="33"/>
      <c r="C144" s="33"/>
      <c r="D144" s="21"/>
      <c r="E144" s="21"/>
      <c r="F144" s="21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ht="12.75" customHeight="1" spans="1:25">
      <c r="A145" s="33"/>
      <c r="B145" s="33"/>
      <c r="C145" s="33"/>
      <c r="D145" s="21"/>
      <c r="E145" s="21"/>
      <c r="F145" s="21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ht="12.75" customHeight="1" spans="1:25">
      <c r="A146" s="33"/>
      <c r="B146" s="33"/>
      <c r="C146" s="33"/>
      <c r="D146" s="21"/>
      <c r="E146" s="21"/>
      <c r="F146" s="21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ht="12.75" customHeight="1" spans="1:25">
      <c r="A147" s="33"/>
      <c r="B147" s="33"/>
      <c r="C147" s="33"/>
      <c r="D147" s="21"/>
      <c r="E147" s="21"/>
      <c r="F147" s="21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ht="12.75" customHeight="1" spans="1:25">
      <c r="A148" s="33"/>
      <c r="B148" s="33"/>
      <c r="C148" s="33"/>
      <c r="D148" s="21"/>
      <c r="E148" s="21"/>
      <c r="F148" s="21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ht="12.75" customHeight="1" spans="1:25">
      <c r="A149" s="33"/>
      <c r="B149" s="33"/>
      <c r="C149" s="33"/>
      <c r="D149" s="21"/>
      <c r="E149" s="21"/>
      <c r="F149" s="21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ht="12.75" customHeight="1" spans="1:25">
      <c r="A150" s="33"/>
      <c r="B150" s="33"/>
      <c r="C150" s="33"/>
      <c r="D150" s="21"/>
      <c r="E150" s="21"/>
      <c r="F150" s="21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ht="12.75" customHeight="1" spans="1:25">
      <c r="A151" s="33"/>
      <c r="B151" s="33"/>
      <c r="C151" s="33"/>
      <c r="D151" s="21"/>
      <c r="E151" s="21"/>
      <c r="F151" s="21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ht="12.75" customHeight="1" spans="1:25">
      <c r="A152" s="33"/>
      <c r="B152" s="33"/>
      <c r="C152" s="33"/>
      <c r="D152" s="21"/>
      <c r="E152" s="21"/>
      <c r="F152" s="21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ht="12.75" customHeight="1" spans="1:25">
      <c r="A153" s="33"/>
      <c r="B153" s="33"/>
      <c r="C153" s="33"/>
      <c r="D153" s="21"/>
      <c r="E153" s="21"/>
      <c r="F153" s="21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ht="12.75" customHeight="1" spans="1:25">
      <c r="A154" s="33"/>
      <c r="B154" s="33"/>
      <c r="C154" s="33"/>
      <c r="D154" s="21"/>
      <c r="E154" s="21"/>
      <c r="F154" s="21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ht="12.75" customHeight="1" spans="1:25">
      <c r="A155" s="33"/>
      <c r="B155" s="33"/>
      <c r="C155" s="33"/>
      <c r="D155" s="21"/>
      <c r="E155" s="21"/>
      <c r="F155" s="21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ht="12.75" customHeight="1" spans="1:25">
      <c r="A156" s="33"/>
      <c r="B156" s="33"/>
      <c r="C156" s="33"/>
      <c r="D156" s="21"/>
      <c r="E156" s="21"/>
      <c r="F156" s="21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ht="12.75" customHeight="1" spans="1:25">
      <c r="A157" s="33"/>
      <c r="B157" s="33"/>
      <c r="C157" s="33"/>
      <c r="D157" s="21"/>
      <c r="E157" s="21"/>
      <c r="F157" s="21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ht="12.75" customHeight="1" spans="1:25">
      <c r="A158" s="33"/>
      <c r="B158" s="33"/>
      <c r="C158" s="33"/>
      <c r="D158" s="21"/>
      <c r="E158" s="21"/>
      <c r="F158" s="21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ht="12.75" customHeight="1" spans="1:25">
      <c r="A159" s="33"/>
      <c r="B159" s="33"/>
      <c r="C159" s="33"/>
      <c r="D159" s="21"/>
      <c r="E159" s="21"/>
      <c r="F159" s="21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ht="12.75" customHeight="1" spans="1:25">
      <c r="A160" s="33"/>
      <c r="B160" s="33"/>
      <c r="C160" s="33"/>
      <c r="D160" s="21"/>
      <c r="E160" s="21"/>
      <c r="F160" s="21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ht="12.75" customHeight="1" spans="1:25">
      <c r="A161" s="33"/>
      <c r="B161" s="33"/>
      <c r="C161" s="33"/>
      <c r="D161" s="21"/>
      <c r="E161" s="21"/>
      <c r="F161" s="21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ht="12.75" customHeight="1" spans="1:25">
      <c r="A162" s="33"/>
      <c r="B162" s="33"/>
      <c r="C162" s="33"/>
      <c r="D162" s="21"/>
      <c r="E162" s="21"/>
      <c r="F162" s="21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ht="12.75" customHeight="1" spans="1:25">
      <c r="A163" s="33"/>
      <c r="B163" s="33"/>
      <c r="C163" s="33"/>
      <c r="D163" s="21"/>
      <c r="E163" s="21"/>
      <c r="F163" s="21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ht="12.75" customHeight="1" spans="1:25">
      <c r="A164" s="33"/>
      <c r="B164" s="33"/>
      <c r="C164" s="33"/>
      <c r="D164" s="21"/>
      <c r="E164" s="21"/>
      <c r="F164" s="21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ht="12.75" customHeight="1" spans="1:25">
      <c r="A165" s="33"/>
      <c r="B165" s="33"/>
      <c r="C165" s="33"/>
      <c r="D165" s="21"/>
      <c r="E165" s="21"/>
      <c r="F165" s="21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ht="12.75" customHeight="1" spans="1:25">
      <c r="A166" s="33"/>
      <c r="B166" s="33"/>
      <c r="C166" s="33"/>
      <c r="D166" s="21"/>
      <c r="E166" s="21"/>
      <c r="F166" s="21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ht="12.75" customHeight="1" spans="1:25">
      <c r="A167" s="33"/>
      <c r="B167" s="33"/>
      <c r="C167" s="33"/>
      <c r="D167" s="21"/>
      <c r="E167" s="21"/>
      <c r="F167" s="21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ht="12.75" customHeight="1" spans="1:25">
      <c r="A168" s="33"/>
      <c r="B168" s="33"/>
      <c r="C168" s="33"/>
      <c r="D168" s="21"/>
      <c r="E168" s="21"/>
      <c r="F168" s="21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ht="12.75" customHeight="1" spans="1:25">
      <c r="A169" s="33"/>
      <c r="B169" s="33"/>
      <c r="C169" s="33"/>
      <c r="D169" s="21"/>
      <c r="E169" s="21"/>
      <c r="F169" s="21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ht="12.75" customHeight="1" spans="1:25">
      <c r="A170" s="33"/>
      <c r="B170" s="33"/>
      <c r="C170" s="33"/>
      <c r="D170" s="21"/>
      <c r="E170" s="21"/>
      <c r="F170" s="21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ht="12.75" customHeight="1" spans="1:25">
      <c r="A171" s="33"/>
      <c r="B171" s="33"/>
      <c r="C171" s="33"/>
      <c r="D171" s="21"/>
      <c r="E171" s="21"/>
      <c r="F171" s="21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ht="12.75" customHeight="1" spans="1:25">
      <c r="A172" s="33"/>
      <c r="B172" s="33"/>
      <c r="C172" s="33"/>
      <c r="D172" s="21"/>
      <c r="E172" s="21"/>
      <c r="F172" s="21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ht="12.75" customHeight="1" spans="1:25">
      <c r="A173" s="33"/>
      <c r="B173" s="33"/>
      <c r="C173" s="33"/>
      <c r="D173" s="21"/>
      <c r="E173" s="21"/>
      <c r="F173" s="21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ht="12.75" customHeight="1" spans="1:25">
      <c r="A174" s="33"/>
      <c r="B174" s="33"/>
      <c r="C174" s="33"/>
      <c r="D174" s="21"/>
      <c r="E174" s="21"/>
      <c r="F174" s="21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ht="12.75" customHeight="1" spans="1:25">
      <c r="A175" s="33"/>
      <c r="B175" s="33"/>
      <c r="C175" s="33"/>
      <c r="D175" s="21"/>
      <c r="E175" s="21"/>
      <c r="F175" s="21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ht="12.75" customHeight="1" spans="1:25">
      <c r="A176" s="33"/>
      <c r="B176" s="33"/>
      <c r="C176" s="33"/>
      <c r="D176" s="21"/>
      <c r="E176" s="21"/>
      <c r="F176" s="21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ht="12.75" customHeight="1" spans="1:25">
      <c r="A177" s="33"/>
      <c r="B177" s="33"/>
      <c r="C177" s="33"/>
      <c r="D177" s="21"/>
      <c r="E177" s="21"/>
      <c r="F177" s="21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ht="12.75" customHeight="1" spans="1:25">
      <c r="A178" s="33"/>
      <c r="B178" s="33"/>
      <c r="C178" s="33"/>
      <c r="D178" s="21"/>
      <c r="E178" s="21"/>
      <c r="F178" s="21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ht="12.75" customHeight="1" spans="1:25">
      <c r="A179" s="33"/>
      <c r="B179" s="33"/>
      <c r="C179" s="33"/>
      <c r="D179" s="21"/>
      <c r="E179" s="21"/>
      <c r="F179" s="21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ht="12.75" customHeight="1" spans="1:25">
      <c r="A180" s="33"/>
      <c r="B180" s="33"/>
      <c r="C180" s="33"/>
      <c r="D180" s="21"/>
      <c r="E180" s="21"/>
      <c r="F180" s="21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ht="12.75" customHeight="1" spans="1:25">
      <c r="A181" s="33"/>
      <c r="B181" s="33"/>
      <c r="C181" s="33"/>
      <c r="D181" s="21"/>
      <c r="E181" s="21"/>
      <c r="F181" s="21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ht="12.75" customHeight="1" spans="1:25">
      <c r="A182" s="33"/>
      <c r="B182" s="33"/>
      <c r="C182" s="33"/>
      <c r="D182" s="21"/>
      <c r="E182" s="21"/>
      <c r="F182" s="21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ht="12.75" customHeight="1" spans="1:25">
      <c r="A183" s="33"/>
      <c r="B183" s="33"/>
      <c r="C183" s="33"/>
      <c r="D183" s="21"/>
      <c r="E183" s="21"/>
      <c r="F183" s="21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ht="12.75" customHeight="1" spans="1:25">
      <c r="A184" s="33"/>
      <c r="B184" s="33"/>
      <c r="C184" s="33"/>
      <c r="D184" s="21"/>
      <c r="E184" s="21"/>
      <c r="F184" s="21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ht="12.75" customHeight="1" spans="1:25">
      <c r="A185" s="33"/>
      <c r="B185" s="33"/>
      <c r="C185" s="33"/>
      <c r="D185" s="21"/>
      <c r="E185" s="21"/>
      <c r="F185" s="21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ht="12.75" customHeight="1" spans="1:25">
      <c r="A186" s="33"/>
      <c r="B186" s="33"/>
      <c r="C186" s="33"/>
      <c r="D186" s="21"/>
      <c r="E186" s="21"/>
      <c r="F186" s="21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ht="12.75" customHeight="1" spans="1:25">
      <c r="A187" s="33"/>
      <c r="B187" s="33"/>
      <c r="C187" s="33"/>
      <c r="D187" s="21"/>
      <c r="E187" s="21"/>
      <c r="F187" s="21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ht="12.75" customHeight="1" spans="1:25">
      <c r="A188" s="33"/>
      <c r="B188" s="33"/>
      <c r="C188" s="33"/>
      <c r="D188" s="21"/>
      <c r="E188" s="21"/>
      <c r="F188" s="21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ht="12.75" customHeight="1" spans="1:25">
      <c r="A189" s="33"/>
      <c r="B189" s="33"/>
      <c r="C189" s="33"/>
      <c r="D189" s="21"/>
      <c r="E189" s="21"/>
      <c r="F189" s="21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ht="12.75" customHeight="1" spans="1:25">
      <c r="A190" s="33"/>
      <c r="B190" s="33"/>
      <c r="C190" s="33"/>
      <c r="D190" s="21"/>
      <c r="E190" s="21"/>
      <c r="F190" s="21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ht="12.75" customHeight="1" spans="1:25">
      <c r="A191" s="33"/>
      <c r="B191" s="33"/>
      <c r="C191" s="33"/>
      <c r="D191" s="21"/>
      <c r="E191" s="21"/>
      <c r="F191" s="21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ht="12.75" customHeight="1" spans="1:25">
      <c r="A192" s="33"/>
      <c r="B192" s="33"/>
      <c r="C192" s="33"/>
      <c r="D192" s="21"/>
      <c r="E192" s="21"/>
      <c r="F192" s="21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ht="12.75" customHeight="1" spans="1:25">
      <c r="A193" s="33"/>
      <c r="B193" s="33"/>
      <c r="C193" s="33"/>
      <c r="D193" s="21"/>
      <c r="E193" s="21"/>
      <c r="F193" s="21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ht="12.75" customHeight="1" spans="1:25">
      <c r="A194" s="33"/>
      <c r="B194" s="33"/>
      <c r="C194" s="33"/>
      <c r="D194" s="21"/>
      <c r="E194" s="21"/>
      <c r="F194" s="21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ht="12.75" customHeight="1" spans="1:25">
      <c r="A195" s="33"/>
      <c r="B195" s="33"/>
      <c r="C195" s="33"/>
      <c r="D195" s="21"/>
      <c r="E195" s="21"/>
      <c r="F195" s="21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ht="12.75" customHeight="1" spans="1:25">
      <c r="A196" s="33"/>
      <c r="B196" s="33"/>
      <c r="C196" s="33"/>
      <c r="D196" s="21"/>
      <c r="E196" s="21"/>
      <c r="F196" s="21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ht="12.75" customHeight="1" spans="1:25">
      <c r="A197" s="33"/>
      <c r="B197" s="33"/>
      <c r="C197" s="33"/>
      <c r="D197" s="21"/>
      <c r="E197" s="21"/>
      <c r="F197" s="21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ht="12.75" customHeight="1" spans="1:25">
      <c r="A198" s="33"/>
      <c r="B198" s="33"/>
      <c r="C198" s="33"/>
      <c r="D198" s="21"/>
      <c r="E198" s="21"/>
      <c r="F198" s="21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ht="12.75" customHeight="1" spans="1:25">
      <c r="A199" s="33"/>
      <c r="B199" s="33"/>
      <c r="C199" s="33"/>
      <c r="D199" s="21"/>
      <c r="E199" s="21"/>
      <c r="F199" s="21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ht="12.75" customHeight="1" spans="1:25">
      <c r="A200" s="33"/>
      <c r="B200" s="33"/>
      <c r="C200" s="33"/>
      <c r="D200" s="21"/>
      <c r="E200" s="21"/>
      <c r="F200" s="21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ht="12.75" customHeight="1" spans="1:25">
      <c r="A201" s="33"/>
      <c r="B201" s="33"/>
      <c r="C201" s="33"/>
      <c r="D201" s="21"/>
      <c r="E201" s="21"/>
      <c r="F201" s="21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ht="12.75" customHeight="1" spans="1:25">
      <c r="A202" s="33"/>
      <c r="B202" s="33"/>
      <c r="C202" s="33"/>
      <c r="D202" s="21"/>
      <c r="E202" s="21"/>
      <c r="F202" s="21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ht="12.75" customHeight="1" spans="1:25">
      <c r="A203" s="33"/>
      <c r="B203" s="33"/>
      <c r="C203" s="33"/>
      <c r="D203" s="21"/>
      <c r="E203" s="21"/>
      <c r="F203" s="21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ht="12.75" customHeight="1" spans="1:25">
      <c r="A204" s="33"/>
      <c r="B204" s="33"/>
      <c r="C204" s="33"/>
      <c r="D204" s="21"/>
      <c r="E204" s="21"/>
      <c r="F204" s="21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ht="12.75" customHeight="1" spans="1:25">
      <c r="A205" s="33"/>
      <c r="B205" s="33"/>
      <c r="C205" s="33"/>
      <c r="D205" s="21"/>
      <c r="E205" s="21"/>
      <c r="F205" s="21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ht="12.75" customHeight="1" spans="1:25">
      <c r="A206" s="33"/>
      <c r="B206" s="33"/>
      <c r="C206" s="33"/>
      <c r="D206" s="21"/>
      <c r="E206" s="21"/>
      <c r="F206" s="21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ht="12.75" customHeight="1" spans="1:25">
      <c r="A207" s="33"/>
      <c r="B207" s="33"/>
      <c r="C207" s="33"/>
      <c r="D207" s="21"/>
      <c r="E207" s="21"/>
      <c r="F207" s="21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ht="12.75" customHeight="1" spans="1:25">
      <c r="A208" s="33"/>
      <c r="B208" s="33"/>
      <c r="C208" s="33"/>
      <c r="D208" s="21"/>
      <c r="E208" s="21"/>
      <c r="F208" s="21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ht="12.75" customHeight="1" spans="1:25">
      <c r="A209" s="33"/>
      <c r="B209" s="33"/>
      <c r="C209" s="33"/>
      <c r="D209" s="21"/>
      <c r="E209" s="21"/>
      <c r="F209" s="21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ht="12.75" customHeight="1" spans="1:25">
      <c r="A210" s="33"/>
      <c r="B210" s="33"/>
      <c r="C210" s="33"/>
      <c r="D210" s="21"/>
      <c r="E210" s="21"/>
      <c r="F210" s="21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ht="12.75" customHeight="1" spans="1:25">
      <c r="A211" s="33"/>
      <c r="B211" s="33"/>
      <c r="C211" s="33"/>
      <c r="D211" s="21"/>
      <c r="E211" s="21"/>
      <c r="F211" s="21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ht="12.75" customHeight="1" spans="1:25">
      <c r="A212" s="33"/>
      <c r="B212" s="33"/>
      <c r="C212" s="33"/>
      <c r="D212" s="21"/>
      <c r="E212" s="21"/>
      <c r="F212" s="21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ht="12.75" customHeight="1" spans="1:25">
      <c r="A213" s="33"/>
      <c r="B213" s="33"/>
      <c r="C213" s="33"/>
      <c r="D213" s="21"/>
      <c r="E213" s="21"/>
      <c r="F213" s="21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ht="12.75" customHeight="1" spans="1:25">
      <c r="A214" s="33"/>
      <c r="B214" s="33"/>
      <c r="C214" s="33"/>
      <c r="D214" s="21"/>
      <c r="E214" s="21"/>
      <c r="F214" s="21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ht="12.75" customHeight="1" spans="1:25">
      <c r="A215" s="33"/>
      <c r="B215" s="33"/>
      <c r="C215" s="33"/>
      <c r="D215" s="21"/>
      <c r="E215" s="21"/>
      <c r="F215" s="21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ht="12.75" customHeight="1" spans="1:25">
      <c r="A216" s="33"/>
      <c r="B216" s="33"/>
      <c r="C216" s="33"/>
      <c r="D216" s="21"/>
      <c r="E216" s="21"/>
      <c r="F216" s="21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ht="12.75" customHeight="1" spans="1:25">
      <c r="A217" s="33"/>
      <c r="B217" s="33"/>
      <c r="C217" s="33"/>
      <c r="D217" s="21"/>
      <c r="E217" s="21"/>
      <c r="F217" s="21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ht="12.75" customHeight="1" spans="1:25">
      <c r="A218" s="33"/>
      <c r="B218" s="33"/>
      <c r="C218" s="33"/>
      <c r="D218" s="21"/>
      <c r="E218" s="21"/>
      <c r="F218" s="21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ht="12.75" customHeight="1" spans="1:25">
      <c r="A219" s="33"/>
      <c r="B219" s="33"/>
      <c r="C219" s="33"/>
      <c r="D219" s="21"/>
      <c r="E219" s="21"/>
      <c r="F219" s="21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ht="12.75" customHeight="1" spans="1:25">
      <c r="A220" s="33"/>
      <c r="B220" s="33"/>
      <c r="C220" s="33"/>
      <c r="D220" s="21"/>
      <c r="E220" s="21"/>
      <c r="F220" s="21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ht="12.75" customHeight="1" spans="1:25">
      <c r="A221" s="33"/>
      <c r="B221" s="33"/>
      <c r="C221" s="33"/>
      <c r="D221" s="21"/>
      <c r="E221" s="21"/>
      <c r="F221" s="21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ht="12.75" customHeight="1" spans="1:25">
      <c r="A222" s="33"/>
      <c r="B222" s="33"/>
      <c r="C222" s="33"/>
      <c r="D222" s="21"/>
      <c r="E222" s="21"/>
      <c r="F222" s="21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ht="12.75" customHeight="1" spans="1:25">
      <c r="A223" s="33"/>
      <c r="B223" s="33"/>
      <c r="C223" s="33"/>
      <c r="D223" s="21"/>
      <c r="E223" s="21"/>
      <c r="F223" s="21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ht="12.75" customHeight="1" spans="1:25">
      <c r="A224" s="33"/>
      <c r="B224" s="33"/>
      <c r="C224" s="33"/>
      <c r="D224" s="21"/>
      <c r="E224" s="21"/>
      <c r="F224" s="21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ht="12.75" customHeight="1" spans="1:25">
      <c r="A225" s="33"/>
      <c r="B225" s="33"/>
      <c r="C225" s="33"/>
      <c r="D225" s="21"/>
      <c r="E225" s="21"/>
      <c r="F225" s="21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ht="12.75" customHeight="1" spans="1:25">
      <c r="A226" s="33"/>
      <c r="B226" s="33"/>
      <c r="C226" s="33"/>
      <c r="D226" s="21"/>
      <c r="E226" s="21"/>
      <c r="F226" s="21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ht="12.75" customHeight="1" spans="1:25">
      <c r="A227" s="33"/>
      <c r="B227" s="33"/>
      <c r="C227" s="33"/>
      <c r="D227" s="21"/>
      <c r="E227" s="21"/>
      <c r="F227" s="21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ht="12.75" customHeight="1" spans="1:25">
      <c r="A228" s="33"/>
      <c r="B228" s="33"/>
      <c r="C228" s="33"/>
      <c r="D228" s="21"/>
      <c r="E228" s="21"/>
      <c r="F228" s="21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ht="12.75" customHeight="1" spans="1:25">
      <c r="A229" s="33"/>
      <c r="B229" s="33"/>
      <c r="C229" s="33"/>
      <c r="D229" s="21"/>
      <c r="E229" s="21"/>
      <c r="F229" s="21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ht="12.75" customHeight="1" spans="1:25">
      <c r="A230" s="33"/>
      <c r="B230" s="33"/>
      <c r="C230" s="33"/>
      <c r="D230" s="21"/>
      <c r="E230" s="21"/>
      <c r="F230" s="21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ht="12.75" customHeight="1" spans="1:25">
      <c r="A231" s="33"/>
      <c r="B231" s="33"/>
      <c r="C231" s="33"/>
      <c r="D231" s="21"/>
      <c r="E231" s="21"/>
      <c r="F231" s="21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ht="12.75" customHeight="1" spans="1:25">
      <c r="A232" s="33"/>
      <c r="B232" s="33"/>
      <c r="C232" s="33"/>
      <c r="D232" s="21"/>
      <c r="E232" s="21"/>
      <c r="F232" s="21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ht="12.75" customHeight="1" spans="1:25">
      <c r="A233" s="33"/>
      <c r="B233" s="33"/>
      <c r="C233" s="33"/>
      <c r="D233" s="21"/>
      <c r="E233" s="21"/>
      <c r="F233" s="21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ht="12.75" customHeight="1" spans="1:25">
      <c r="A234" s="33"/>
      <c r="B234" s="33"/>
      <c r="C234" s="33"/>
      <c r="D234" s="21"/>
      <c r="E234" s="21"/>
      <c r="F234" s="21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ht="12.75" customHeight="1" spans="1:25">
      <c r="A235" s="33"/>
      <c r="B235" s="33"/>
      <c r="C235" s="33"/>
      <c r="D235" s="21"/>
      <c r="E235" s="21"/>
      <c r="F235" s="21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ht="12.75" customHeight="1" spans="1:25">
      <c r="A236" s="33"/>
      <c r="B236" s="33"/>
      <c r="C236" s="33"/>
      <c r="D236" s="21"/>
      <c r="E236" s="21"/>
      <c r="F236" s="21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ht="12.75" customHeight="1" spans="1:25">
      <c r="A237" s="33"/>
      <c r="B237" s="33"/>
      <c r="C237" s="33"/>
      <c r="D237" s="21"/>
      <c r="E237" s="21"/>
      <c r="F237" s="21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ht="12.75" customHeight="1" spans="1:25">
      <c r="A238" s="33"/>
      <c r="B238" s="33"/>
      <c r="C238" s="33"/>
      <c r="D238" s="21"/>
      <c r="E238" s="21"/>
      <c r="F238" s="21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13:E13"/>
    <mergeCell ref="D14:E14"/>
    <mergeCell ref="D15:E15"/>
    <mergeCell ref="D32:E32"/>
    <mergeCell ref="D33:E33"/>
    <mergeCell ref="D34:E34"/>
    <mergeCell ref="D35:E35"/>
    <mergeCell ref="D36:E36"/>
    <mergeCell ref="D37:E37"/>
    <mergeCell ref="D38:E38"/>
    <mergeCell ref="A2:E3"/>
  </mergeCells>
  <pageMargins left="0.7" right="0.7" top="0.75" bottom="0.75" header="0" footer="0"/>
  <pageSetup paperSize="1"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34" workbookViewId="0">
      <selection activeCell="D18" sqref="D18:D21"/>
    </sheetView>
  </sheetViews>
  <sheetFormatPr defaultColWidth="14.4285714285714" defaultRowHeight="15" customHeight="1"/>
  <cols>
    <col min="1" max="1" width="4.85714285714286" customWidth="1"/>
    <col min="2" max="2" width="9.14285714285714" customWidth="1"/>
    <col min="3" max="3" width="22.8571428571429" customWidth="1"/>
    <col min="4" max="4" width="27.8571428571429" customWidth="1"/>
    <col min="5" max="5" width="30.4285714285714" customWidth="1"/>
    <col min="6" max="6" width="29.1428571428571" customWidth="1"/>
    <col min="7" max="7" width="26.8571428571429" customWidth="1"/>
    <col min="8" max="8" width="30.1428571428571" customWidth="1"/>
    <col min="9" max="26" width="8" customWidth="1"/>
  </cols>
  <sheetData>
    <row r="1" ht="12.75" customHeight="1" spans="1:26">
      <c r="A1" s="33"/>
      <c r="B1" s="21"/>
      <c r="C1" s="21"/>
      <c r="D1" s="21"/>
      <c r="E1" s="21"/>
      <c r="F1" s="21"/>
      <c r="G1" s="21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32.25" customHeight="1" spans="1:26">
      <c r="A2" s="33"/>
      <c r="B2" s="103"/>
      <c r="C2" s="54"/>
      <c r="D2" s="54"/>
      <c r="E2" s="54" t="s">
        <v>30</v>
      </c>
      <c r="F2" s="103"/>
      <c r="G2" s="10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3.5" customHeight="1" spans="1:26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2.75" customHeight="1" spans="1:26">
      <c r="A4" s="5" t="s">
        <v>70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2.75" customHeight="1" spans="1:26">
      <c r="A5" s="135" t="s">
        <v>71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2.75" customHeight="1" spans="1:26">
      <c r="A6" s="25" t="s">
        <v>45</v>
      </c>
      <c r="B6" s="25" t="s">
        <v>49</v>
      </c>
      <c r="C6" s="138"/>
      <c r="D6" s="139" t="s">
        <v>24</v>
      </c>
      <c r="E6" s="138"/>
      <c r="F6" s="140" t="s">
        <v>46</v>
      </c>
      <c r="G6" s="139" t="s">
        <v>25</v>
      </c>
      <c r="H6" s="141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2.75" customHeight="1" spans="1:26">
      <c r="A7" s="142">
        <v>1</v>
      </c>
      <c r="B7" s="143" t="s">
        <v>72</v>
      </c>
      <c r="C7" s="144"/>
      <c r="D7" s="143"/>
      <c r="E7" s="144"/>
      <c r="F7" s="145" t="s">
        <v>73</v>
      </c>
      <c r="G7" s="146"/>
      <c r="H7" s="147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2.75" customHeight="1" spans="1:26">
      <c r="A8" s="142">
        <v>2</v>
      </c>
      <c r="B8" s="143" t="s">
        <v>74</v>
      </c>
      <c r="C8" s="144"/>
      <c r="D8" s="148"/>
      <c r="E8" s="144"/>
      <c r="F8" s="145" t="s">
        <v>75</v>
      </c>
      <c r="G8" s="148"/>
      <c r="H8" s="147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2.75" customHeight="1" spans="1:26">
      <c r="A9" s="142">
        <v>3</v>
      </c>
      <c r="B9" s="149" t="s">
        <v>76</v>
      </c>
      <c r="C9" s="144"/>
      <c r="D9" s="148"/>
      <c r="E9" s="144"/>
      <c r="F9" s="145" t="s">
        <v>75</v>
      </c>
      <c r="G9" s="148"/>
      <c r="H9" s="147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2.75" customHeight="1" spans="1:26">
      <c r="A10" s="142">
        <v>4</v>
      </c>
      <c r="B10" s="149" t="s">
        <v>77</v>
      </c>
      <c r="C10" s="144"/>
      <c r="D10" s="148"/>
      <c r="E10" s="144"/>
      <c r="F10" s="145" t="s">
        <v>78</v>
      </c>
      <c r="G10" s="148"/>
      <c r="H10" s="147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2.75" customHeight="1" spans="1:26">
      <c r="A11" s="142">
        <v>5</v>
      </c>
      <c r="B11" s="143" t="s">
        <v>79</v>
      </c>
      <c r="C11" s="144"/>
      <c r="D11" s="148"/>
      <c r="E11" s="144"/>
      <c r="F11" s="145" t="s">
        <v>78</v>
      </c>
      <c r="G11" s="148"/>
      <c r="H11" s="147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2.75" customHeight="1" spans="1:26">
      <c r="A12" s="142">
        <v>6</v>
      </c>
      <c r="B12" s="143" t="s">
        <v>80</v>
      </c>
      <c r="C12" s="144"/>
      <c r="D12" s="148"/>
      <c r="E12" s="144"/>
      <c r="F12" s="145" t="s">
        <v>78</v>
      </c>
      <c r="G12" s="148"/>
      <c r="H12" s="147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2.75" customHeight="1" spans="1:26">
      <c r="A13" s="142">
        <v>7</v>
      </c>
      <c r="B13" s="150" t="s">
        <v>81</v>
      </c>
      <c r="C13" s="151"/>
      <c r="D13" s="152"/>
      <c r="E13" s="151"/>
      <c r="F13" s="145" t="s">
        <v>73</v>
      </c>
      <c r="G13" s="152"/>
      <c r="H13" s="15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2.75" customHeight="1" spans="1:26">
      <c r="A14" s="33"/>
      <c r="B14" s="154"/>
      <c r="C14" s="154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2.75" customHeight="1" spans="1:26">
      <c r="A15" s="5" t="s">
        <v>82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2.75" customHeight="1" spans="1:26">
      <c r="A16" s="135" t="s">
        <v>83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2.75" customHeight="1" spans="1:26">
      <c r="A17" s="25" t="s">
        <v>45</v>
      </c>
      <c r="B17" s="25" t="s">
        <v>82</v>
      </c>
      <c r="C17" s="138"/>
      <c r="D17" s="140" t="s">
        <v>84</v>
      </c>
      <c r="E17" s="140" t="s">
        <v>85</v>
      </c>
      <c r="F17" s="140" t="s">
        <v>86</v>
      </c>
      <c r="G17" s="139" t="s">
        <v>25</v>
      </c>
      <c r="H17" s="141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7.25" customHeight="1" spans="1:26">
      <c r="A18" s="145">
        <v>1</v>
      </c>
      <c r="B18" s="149" t="s">
        <v>87</v>
      </c>
      <c r="C18" s="144"/>
      <c r="D18" s="155">
        <v>45597</v>
      </c>
      <c r="E18" s="145" t="s">
        <v>88</v>
      </c>
      <c r="F18" s="145" t="s">
        <v>89</v>
      </c>
      <c r="G18" s="156" t="s">
        <v>90</v>
      </c>
      <c r="H18" s="144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 spans="1:26">
      <c r="A19" s="157">
        <v>2</v>
      </c>
      <c r="B19" s="158" t="s">
        <v>91</v>
      </c>
      <c r="C19" s="52"/>
      <c r="D19" s="155">
        <v>45598</v>
      </c>
      <c r="E19" s="157" t="s">
        <v>88</v>
      </c>
      <c r="F19" s="157" t="s">
        <v>89</v>
      </c>
      <c r="G19" s="159"/>
      <c r="H19" s="52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7.25" customHeight="1" spans="1:26">
      <c r="A20" s="145">
        <v>3</v>
      </c>
      <c r="B20" s="149" t="s">
        <v>92</v>
      </c>
      <c r="C20" s="144"/>
      <c r="D20" s="155">
        <v>45599</v>
      </c>
      <c r="E20" s="145" t="s">
        <v>88</v>
      </c>
      <c r="F20" s="145" t="s">
        <v>89</v>
      </c>
      <c r="G20" s="156"/>
      <c r="H20" s="144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7.25" customHeight="1" spans="1:26">
      <c r="A21" s="145">
        <v>4</v>
      </c>
      <c r="B21" s="149" t="s">
        <v>93</v>
      </c>
      <c r="C21" s="144"/>
      <c r="D21" s="155">
        <v>45600</v>
      </c>
      <c r="E21" s="145" t="s">
        <v>88</v>
      </c>
      <c r="F21" s="145" t="s">
        <v>89</v>
      </c>
      <c r="G21" s="156"/>
      <c r="H21" s="144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2.75" customHeight="1" spans="1:26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2.75" customHeight="1" spans="1:26">
      <c r="A23" s="5" t="s">
        <v>94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2.75" customHeight="1" spans="1:26">
      <c r="A24" s="135" t="s">
        <v>95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2.75" customHeight="1" spans="1:26">
      <c r="A25" s="160" t="s">
        <v>45</v>
      </c>
      <c r="B25" s="160" t="s">
        <v>96</v>
      </c>
      <c r="C25" s="81"/>
      <c r="D25" s="60" t="s">
        <v>97</v>
      </c>
      <c r="E25" s="61"/>
      <c r="F25" s="81"/>
      <c r="G25" s="60" t="s">
        <v>25</v>
      </c>
      <c r="H25" s="81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4.75" customHeight="1" spans="1:26">
      <c r="A26" s="82">
        <v>1</v>
      </c>
      <c r="B26" s="161"/>
      <c r="C26" s="162"/>
      <c r="D26" s="163"/>
      <c r="E26" s="164"/>
      <c r="F26" s="162"/>
      <c r="G26" s="163"/>
      <c r="H26" s="162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2.75" customHeight="1" spans="1:26">
      <c r="A27" s="87">
        <v>2</v>
      </c>
      <c r="B27" s="165"/>
      <c r="C27" s="166"/>
      <c r="D27" s="167"/>
      <c r="E27" s="168"/>
      <c r="F27" s="166"/>
      <c r="G27" s="169"/>
      <c r="H27" s="166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2.75" customHeight="1" spans="1:26">
      <c r="A28" s="170">
        <v>3</v>
      </c>
      <c r="B28" s="171"/>
      <c r="C28" s="172"/>
      <c r="D28" s="173"/>
      <c r="E28" s="174"/>
      <c r="F28" s="172"/>
      <c r="G28" s="173"/>
      <c r="H28" s="172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2.75" customHeight="1" spans="1:26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2.75" customHeight="1" spans="1:26">
      <c r="A30" s="5" t="s">
        <v>98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2.75" customHeight="1" spans="1:26">
      <c r="A31" s="175" t="s">
        <v>99</v>
      </c>
      <c r="B31" s="176"/>
      <c r="C31" s="176"/>
      <c r="D31" s="176"/>
      <c r="E31" s="176"/>
      <c r="F31" s="176"/>
      <c r="G31" s="176"/>
      <c r="H31" s="177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75" customHeight="1" spans="1:26">
      <c r="A32" s="80" t="s">
        <v>45</v>
      </c>
      <c r="B32" s="25" t="s">
        <v>100</v>
      </c>
      <c r="C32" s="178"/>
      <c r="D32" s="141"/>
      <c r="E32" s="25" t="s">
        <v>101</v>
      </c>
      <c r="F32" s="141"/>
      <c r="G32" s="25" t="s">
        <v>102</v>
      </c>
      <c r="H32" s="141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47.25" customHeight="1" spans="1:26">
      <c r="A33" s="179">
        <v>1</v>
      </c>
      <c r="B33" s="156" t="s">
        <v>103</v>
      </c>
      <c r="C33" s="180"/>
      <c r="D33" s="144"/>
      <c r="E33" s="156" t="s">
        <v>104</v>
      </c>
      <c r="F33" s="144"/>
      <c r="G33" s="156" t="s">
        <v>105</v>
      </c>
      <c r="H33" s="144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47.25" customHeight="1" spans="1:26">
      <c r="A34" s="179">
        <v>2</v>
      </c>
      <c r="B34" s="156" t="s">
        <v>106</v>
      </c>
      <c r="C34" s="180"/>
      <c r="D34" s="144"/>
      <c r="E34" s="156" t="s">
        <v>107</v>
      </c>
      <c r="F34" s="144"/>
      <c r="G34" s="156" t="s">
        <v>108</v>
      </c>
      <c r="H34" s="144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41.25" customHeight="1" spans="1:26">
      <c r="A35" s="179">
        <v>3</v>
      </c>
      <c r="B35" s="156" t="s">
        <v>109</v>
      </c>
      <c r="C35" s="180"/>
      <c r="D35" s="144"/>
      <c r="E35" s="156" t="s">
        <v>110</v>
      </c>
      <c r="F35" s="144"/>
      <c r="G35" s="156" t="s">
        <v>111</v>
      </c>
      <c r="H35" s="144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36" customHeight="1" spans="1:26">
      <c r="A36" s="179">
        <v>4</v>
      </c>
      <c r="B36" s="156" t="s">
        <v>112</v>
      </c>
      <c r="C36" s="180"/>
      <c r="D36" s="144"/>
      <c r="E36" s="156" t="s">
        <v>113</v>
      </c>
      <c r="F36" s="144"/>
      <c r="G36" s="156" t="s">
        <v>114</v>
      </c>
      <c r="H36" s="144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36" customHeight="1" spans="1:26">
      <c r="A37" s="179">
        <v>5</v>
      </c>
      <c r="B37" s="156" t="s">
        <v>115</v>
      </c>
      <c r="C37" s="180"/>
      <c r="D37" s="144"/>
      <c r="E37" s="156" t="s">
        <v>107</v>
      </c>
      <c r="F37" s="144"/>
      <c r="G37" s="156" t="s">
        <v>116</v>
      </c>
      <c r="H37" s="144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 spans="1:26">
      <c r="A38" s="5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2.75" customHeight="1" spans="1:26">
      <c r="A39" s="5" t="s">
        <v>117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2.75" customHeight="1" spans="1:26">
      <c r="A40" s="135" t="s">
        <v>118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2.75" customHeight="1" spans="1:26">
      <c r="A41" s="124" t="s">
        <v>45</v>
      </c>
      <c r="B41" s="125" t="s">
        <v>119</v>
      </c>
      <c r="C41" s="81"/>
      <c r="D41" s="60" t="s">
        <v>24</v>
      </c>
      <c r="E41" s="61"/>
      <c r="F41" s="61"/>
      <c r="G41" s="61"/>
      <c r="H41" s="81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customHeight="1" spans="1:26">
      <c r="A42" s="181">
        <v>1</v>
      </c>
      <c r="B42" s="182"/>
      <c r="C42" s="147"/>
      <c r="D42" s="182"/>
      <c r="E42" s="180"/>
      <c r="F42" s="180"/>
      <c r="G42" s="180"/>
      <c r="H42" s="147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customHeight="1" spans="1:26">
      <c r="A43" s="183">
        <v>2</v>
      </c>
      <c r="B43" s="184"/>
      <c r="C43" s="153"/>
      <c r="D43" s="184"/>
      <c r="E43" s="185"/>
      <c r="F43" s="185"/>
      <c r="G43" s="185"/>
      <c r="H43" s="15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2.75" customHeight="1" spans="1:26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2.75" customHeight="1" spans="1:26">
      <c r="A45" s="5" t="s">
        <v>120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2.75" customHeight="1" spans="1:26">
      <c r="A46" s="135" t="s">
        <v>121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2.75" customHeight="1" spans="1:26">
      <c r="A47" s="124" t="s">
        <v>45</v>
      </c>
      <c r="B47" s="60" t="s">
        <v>122</v>
      </c>
      <c r="C47" s="81"/>
      <c r="D47" s="60" t="s">
        <v>24</v>
      </c>
      <c r="E47" s="81"/>
      <c r="F47" s="186" t="s">
        <v>46</v>
      </c>
      <c r="G47" s="186" t="s">
        <v>123</v>
      </c>
      <c r="H47" s="186" t="s">
        <v>124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2.75" customHeight="1" spans="1:26">
      <c r="A48" s="114">
        <v>1</v>
      </c>
      <c r="B48" s="187"/>
      <c r="C48" s="188"/>
      <c r="D48" s="187"/>
      <c r="E48" s="188"/>
      <c r="F48" s="189"/>
      <c r="G48" s="190"/>
      <c r="H48" s="190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 spans="1:26">
      <c r="A49" s="117">
        <v>2</v>
      </c>
      <c r="B49" s="191"/>
      <c r="C49" s="147"/>
      <c r="D49" s="191"/>
      <c r="E49" s="147"/>
      <c r="F49" s="192"/>
      <c r="G49" s="190"/>
      <c r="H49" s="190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 spans="1:26">
      <c r="A50" s="114">
        <v>3</v>
      </c>
      <c r="B50" s="191"/>
      <c r="C50" s="147"/>
      <c r="D50" s="191"/>
      <c r="E50" s="147"/>
      <c r="F50" s="192"/>
      <c r="G50" s="190"/>
      <c r="H50" s="190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 spans="1:26">
      <c r="A51" s="33"/>
      <c r="B51" s="33"/>
      <c r="C51" s="33"/>
      <c r="D51" s="33"/>
      <c r="E51" s="193"/>
      <c r="F51" s="19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2.75" customHeight="1" spans="1:26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2.75" customHeight="1" spans="1:26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2.75" customHeight="1" spans="1:26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2.75" customHeight="1" spans="1:26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2.75" customHeight="1" spans="1:2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2.75" customHeight="1" spans="1:26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2.75" customHeight="1" spans="1:26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2.75" customHeight="1" spans="1:26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2.75" customHeight="1" spans="1:26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2.75" customHeight="1" spans="1:26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2.75" customHeight="1" spans="1:26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2.75" customHeight="1" spans="1:26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2.75" customHeight="1" spans="1:26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2.75" customHeight="1" spans="1:26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2.75" customHeight="1" spans="1:2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2.75" customHeight="1" spans="1:26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2.75" customHeight="1" spans="1:26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2.75" customHeight="1" spans="1:26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2.75" customHeight="1" spans="1:26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2.75" customHeight="1" spans="1:26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2.75" customHeight="1" spans="1:26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2.75" customHeight="1" spans="1:26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2.75" customHeight="1" spans="1:26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2.75" customHeight="1" spans="1:26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2.75" customHeight="1" spans="1:2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2.75" customHeight="1" spans="1:26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2.75" customHeight="1" spans="1:26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2.75" customHeight="1" spans="1:26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2.75" customHeight="1" spans="1:26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2.75" customHeight="1" spans="1:26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2.75" customHeight="1" spans="1:26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2.75" customHeight="1" spans="1:26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2.75" customHeight="1" spans="1:26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2.75" customHeight="1" spans="1:26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2.75" customHeight="1" spans="1:2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2.75" customHeight="1" spans="1:26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2.75" customHeight="1" spans="1:26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2.75" customHeight="1" spans="1:26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2.75" customHeight="1" spans="1:26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2.75" customHeight="1" spans="1:26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2.75" customHeight="1" spans="1:26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2.75" customHeight="1" spans="1:26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2.75" customHeight="1" spans="1:26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2.75" customHeight="1" spans="1:26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2.75" customHeight="1" spans="1:2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2.75" customHeight="1" spans="1:26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2.75" customHeight="1" spans="1:26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2.75" customHeight="1" spans="1:26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2.75" customHeight="1" spans="1:26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2.75" customHeight="1" spans="1:26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2.75" customHeight="1" spans="1:26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2.75" customHeight="1" spans="1:26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2.75" customHeight="1" spans="1:26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2.75" customHeight="1" spans="1:26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2.75" customHeight="1" spans="1:2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2.75" customHeight="1" spans="1:26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2.75" customHeight="1" spans="1:26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2.75" customHeight="1" spans="1:26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2.75" customHeight="1" spans="1:26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2.75" customHeight="1" spans="1:26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2.75" customHeight="1" spans="1:26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2.75" customHeight="1" spans="1:26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2.75" customHeight="1" spans="1:26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2.75" customHeight="1" spans="1:26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2.75" customHeight="1" spans="1:2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2.75" customHeight="1" spans="1:26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2.75" customHeight="1" spans="1:26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2.75" customHeight="1" spans="1:26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2.75" customHeight="1" spans="1:26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2.75" customHeight="1" spans="1:26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2.75" customHeight="1" spans="1:26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2.75" customHeight="1" spans="1:26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2.75" customHeight="1" spans="1:26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2.75" customHeight="1" spans="1:26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2.75" customHeight="1" spans="1: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2.75" customHeight="1" spans="1:26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2.75" customHeight="1" spans="1:26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2.75" customHeight="1" spans="1:26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2.75" customHeight="1" spans="1:26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2.75" customHeight="1" spans="1:26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2.75" customHeight="1" spans="1:26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2.75" customHeight="1" spans="1:26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2.75" customHeight="1" spans="1:26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2.75" customHeight="1" spans="1:26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2.75" customHeight="1" spans="1:2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2.75" customHeight="1" spans="1:26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2.75" customHeight="1" spans="1:26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2.75" customHeight="1" spans="1:26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2.75" customHeight="1" spans="1:26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2.75" customHeight="1" spans="1:26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2.75" customHeight="1" spans="1:26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2.75" customHeight="1" spans="1:26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2.75" customHeight="1" spans="1:26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2.75" customHeight="1" spans="1:26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2.75" customHeight="1" spans="1:2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2.75" customHeight="1" spans="1:26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2.75" customHeight="1" spans="1:26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2.75" customHeight="1" spans="1:26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2.75" customHeight="1" spans="1:26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2.75" customHeight="1" spans="1:26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2.75" customHeight="1" spans="1:26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2.75" customHeight="1" spans="1:26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2.75" customHeight="1" spans="1:26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2.75" customHeight="1" spans="1:26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2.75" customHeight="1" spans="1:2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2.75" customHeight="1" spans="1:26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2.75" customHeight="1" spans="1:26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2.75" customHeight="1" spans="1:26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2.75" customHeight="1" spans="1:26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2.75" customHeight="1" spans="1:26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2.75" customHeight="1" spans="1:26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2.75" customHeight="1" spans="1:26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2.75" customHeight="1" spans="1:26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2.75" customHeight="1" spans="1:26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2.75" customHeight="1" spans="1:2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2.75" customHeight="1" spans="1:26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2.75" customHeight="1" spans="1:26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2.75" customHeight="1" spans="1:26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2.75" customHeight="1" spans="1:26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2.75" customHeight="1" spans="1:26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2.75" customHeight="1" spans="1:26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2.75" customHeight="1" spans="1:26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2.75" customHeight="1" spans="1:26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2.75" customHeight="1" spans="1:26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2.75" customHeight="1" spans="1:2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2.75" customHeight="1" spans="1:26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2.75" customHeight="1" spans="1:26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2.75" customHeight="1" spans="1:26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2.75" customHeight="1" spans="1:26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2.75" customHeight="1" spans="1:26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2.75" customHeight="1" spans="1:26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2.75" customHeight="1" spans="1:26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2.75" customHeight="1" spans="1:26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2.75" customHeight="1" spans="1:26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2.75" customHeight="1" spans="1:2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2.75" customHeight="1" spans="1:26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2.75" customHeight="1" spans="1:26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2.75" customHeight="1" spans="1:26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2.75" customHeight="1" spans="1:26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2.75" customHeight="1" spans="1:26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2.75" customHeight="1" spans="1:26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2.75" customHeight="1" spans="1:26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2.75" customHeight="1" spans="1:26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2.75" customHeight="1" spans="1:26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2.75" customHeight="1" spans="1:2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2.75" customHeight="1" spans="1:26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2.75" customHeight="1" spans="1:26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2.75" customHeight="1" spans="1:26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2.75" customHeight="1" spans="1:26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2.75" customHeight="1" spans="1:26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2.75" customHeight="1" spans="1:26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2.75" customHeight="1" spans="1:26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2.75" customHeight="1" spans="1:26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2.75" customHeight="1" spans="1:26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2.75" customHeight="1" spans="1:2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2.75" customHeight="1" spans="1:26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2.75" customHeight="1" spans="1:26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2.75" customHeight="1" spans="1:26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2.75" customHeight="1" spans="1:26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2.75" customHeight="1" spans="1:26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2.75" customHeight="1" spans="1:26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2.75" customHeight="1" spans="1:26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2.75" customHeight="1" spans="1:26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2.75" customHeight="1" spans="1:26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2.75" customHeight="1" spans="1:2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2.75" customHeight="1" spans="1:26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2.75" customHeight="1" spans="1:26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2.75" customHeight="1" spans="1:26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2.75" customHeight="1" spans="1:26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2.75" customHeight="1" spans="1:26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2.75" customHeight="1" spans="1:26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2.75" customHeight="1" spans="1:26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2.75" customHeight="1" spans="1:26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2.75" customHeight="1" spans="1:26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2.75" customHeight="1" spans="1: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2.75" customHeight="1" spans="1:26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2.75" customHeight="1" spans="1:26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2.75" customHeight="1" spans="1:26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2.75" customHeight="1" spans="1:26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2.75" customHeight="1" spans="1:26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2.75" customHeight="1" spans="1:26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2.75" customHeight="1" spans="1:26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2.75" customHeight="1" spans="1:26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2.75" customHeight="1" spans="1:26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2.75" customHeight="1" spans="1:2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2.75" customHeight="1" spans="1:26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2.75" customHeight="1" spans="1:26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2.75" customHeight="1" spans="1:26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2.75" customHeight="1" spans="1:26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2.75" customHeight="1" spans="1:26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2.75" customHeight="1" spans="1:26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2.75" customHeight="1" spans="1:26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2.75" customHeight="1" spans="1:26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2.75" customHeight="1" spans="1:26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2.75" customHeight="1" spans="1:2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2.75" customHeight="1" spans="1:26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2.75" customHeight="1" spans="1:26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2.75" customHeight="1" spans="1:26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2.75" customHeight="1" spans="1:26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6:C6"/>
    <mergeCell ref="D6:E6"/>
    <mergeCell ref="G6:H6"/>
    <mergeCell ref="B7:C7"/>
    <mergeCell ref="D7:E7"/>
    <mergeCell ref="G7:H7"/>
    <mergeCell ref="B8:C8"/>
    <mergeCell ref="D8:E8"/>
    <mergeCell ref="G8:H8"/>
    <mergeCell ref="B9:C9"/>
    <mergeCell ref="D9:E9"/>
    <mergeCell ref="G9:H9"/>
    <mergeCell ref="B10:C10"/>
    <mergeCell ref="D10:E10"/>
    <mergeCell ref="G10:H10"/>
    <mergeCell ref="B11:C11"/>
    <mergeCell ref="D11:E11"/>
    <mergeCell ref="G11:H11"/>
    <mergeCell ref="B12:C12"/>
    <mergeCell ref="D12:E12"/>
    <mergeCell ref="G12:H12"/>
    <mergeCell ref="B13:C13"/>
    <mergeCell ref="D13:E13"/>
    <mergeCell ref="G13:H13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5:C25"/>
    <mergeCell ref="D25:F25"/>
    <mergeCell ref="G25:H25"/>
    <mergeCell ref="B26:C26"/>
    <mergeCell ref="D26:F26"/>
    <mergeCell ref="G26:H26"/>
    <mergeCell ref="B27:C27"/>
    <mergeCell ref="D27:F27"/>
    <mergeCell ref="G27:H27"/>
    <mergeCell ref="B28:C28"/>
    <mergeCell ref="D28:F28"/>
    <mergeCell ref="G28:H28"/>
    <mergeCell ref="B32:D32"/>
    <mergeCell ref="E32:F32"/>
    <mergeCell ref="G32:H32"/>
    <mergeCell ref="B33:D33"/>
    <mergeCell ref="E33:F33"/>
    <mergeCell ref="G33:H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B41:C41"/>
    <mergeCell ref="D41:H41"/>
    <mergeCell ref="B42:C42"/>
    <mergeCell ref="D42:H42"/>
    <mergeCell ref="B43:C43"/>
    <mergeCell ref="D43:H43"/>
    <mergeCell ref="B47:C47"/>
    <mergeCell ref="D47:E47"/>
    <mergeCell ref="B48:C48"/>
    <mergeCell ref="D48:E48"/>
    <mergeCell ref="B49:C49"/>
    <mergeCell ref="D49:E49"/>
    <mergeCell ref="B50:C50"/>
    <mergeCell ref="D50:E50"/>
  </mergeCells>
  <pageMargins left="0.7" right="0.7" top="0.75" bottom="0.75" header="0" footer="0"/>
  <pageSetup paperSize="1" orientation="landscape"/>
  <headerFooter>
    <oddFooter>&amp;LFsoft-HCM-G36TP&amp;CInternal use&amp;R&amp;P/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8" workbookViewId="0">
      <selection activeCell="D20" sqref="D20:F20"/>
    </sheetView>
  </sheetViews>
  <sheetFormatPr defaultColWidth="14.4285714285714" defaultRowHeight="15" customHeight="1"/>
  <cols>
    <col min="1" max="1" width="2.85714285714286" customWidth="1"/>
    <col min="2" max="2" width="39" customWidth="1"/>
    <col min="3" max="3" width="15.8571428571429" customWidth="1"/>
    <col min="4" max="4" width="32.1428571428571" customWidth="1"/>
    <col min="5" max="6" width="15.8571428571429" customWidth="1"/>
    <col min="7" max="7" width="19.8571428571429" customWidth="1"/>
    <col min="8" max="8" width="27.1428571428571" customWidth="1"/>
    <col min="9" max="26" width="8" customWidth="1"/>
  </cols>
  <sheetData>
    <row r="1" ht="12.75" customHeight="1" spans="1:26">
      <c r="A1" s="33"/>
      <c r="B1" s="33"/>
      <c r="C1" s="21"/>
      <c r="D1" s="21"/>
      <c r="E1" s="21"/>
      <c r="F1" s="21"/>
      <c r="G1" s="21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32.25" customHeight="1" spans="1:26">
      <c r="A2" s="33"/>
      <c r="B2" s="33"/>
      <c r="C2" s="103"/>
      <c r="D2" s="54" t="s">
        <v>32</v>
      </c>
      <c r="E2" s="54"/>
      <c r="F2" s="54"/>
      <c r="G2" s="10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2.75" customHeight="1" spans="1:26">
      <c r="A3" s="33"/>
      <c r="B3" s="33"/>
      <c r="C3" s="21"/>
      <c r="D3" s="21"/>
      <c r="E3" s="21"/>
      <c r="F3" s="21"/>
      <c r="G3" s="21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2.75" customHeight="1" spans="1:26">
      <c r="A4" s="33"/>
      <c r="B4" s="5" t="s">
        <v>125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2.75" customHeight="1" spans="1:26">
      <c r="A5" s="33"/>
      <c r="B5" s="44" t="s">
        <v>126</v>
      </c>
      <c r="C5" s="44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2.75" customHeight="1" spans="1:26">
      <c r="A6" s="33"/>
      <c r="B6" s="55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2.75" customHeight="1" spans="1:26">
      <c r="A7" s="33"/>
      <c r="B7" s="55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2.75" customHeight="1" spans="1:26">
      <c r="A8" s="33"/>
      <c r="B8" s="5" t="s">
        <v>127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2.75" customHeight="1" spans="1:26">
      <c r="A9" s="33"/>
      <c r="B9" s="44" t="s">
        <v>128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2.75" customHeight="1" spans="1:26">
      <c r="A10" s="33"/>
      <c r="B10" s="104" t="s">
        <v>129</v>
      </c>
      <c r="C10" s="105" t="s">
        <v>130</v>
      </c>
      <c r="D10" s="106" t="s">
        <v>131</v>
      </c>
      <c r="E10" s="106" t="s">
        <v>132</v>
      </c>
      <c r="F10" s="107" t="s">
        <v>133</v>
      </c>
      <c r="G10" s="108"/>
      <c r="H10" s="109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 spans="1:26">
      <c r="A11" s="33"/>
      <c r="B11" s="110" t="s">
        <v>134</v>
      </c>
      <c r="C11" s="111"/>
      <c r="D11" s="111"/>
      <c r="E11" s="111"/>
      <c r="F11" s="111"/>
      <c r="G11" s="100"/>
      <c r="H11" s="11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2.75" customHeight="1" spans="1:26">
      <c r="A12" s="33"/>
      <c r="B12" s="113" t="s">
        <v>135</v>
      </c>
      <c r="C12" s="114" t="s">
        <v>136</v>
      </c>
      <c r="D12" s="114"/>
      <c r="E12" s="114" t="s">
        <v>136</v>
      </c>
      <c r="F12" s="114"/>
      <c r="G12" s="115"/>
      <c r="H12" s="116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2.75" customHeight="1" spans="1:26">
      <c r="A13" s="33"/>
      <c r="B13" s="113" t="s">
        <v>137</v>
      </c>
      <c r="C13" s="117"/>
      <c r="D13" s="117" t="s">
        <v>136</v>
      </c>
      <c r="E13" s="117" t="s">
        <v>136</v>
      </c>
      <c r="F13" s="117" t="s">
        <v>136</v>
      </c>
      <c r="G13" s="20"/>
      <c r="H13" s="20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4.75" customHeight="1" spans="1:26">
      <c r="A14" s="33"/>
      <c r="B14" s="118" t="s">
        <v>46</v>
      </c>
      <c r="C14" s="119" t="s">
        <v>138</v>
      </c>
      <c r="D14" s="119" t="s">
        <v>75</v>
      </c>
      <c r="E14" s="119" t="s">
        <v>75</v>
      </c>
      <c r="F14" s="119" t="s">
        <v>75</v>
      </c>
      <c r="G14" s="120"/>
      <c r="H14" s="120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2.75" customHeight="1" spans="1:26">
      <c r="A15" s="33"/>
      <c r="B15" s="121"/>
      <c r="C15" s="121"/>
      <c r="D15" s="121"/>
      <c r="E15" s="121"/>
      <c r="F15" s="121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2.75" customHeight="1" spans="1:26">
      <c r="A16" s="33"/>
      <c r="B16" s="121"/>
      <c r="C16" s="121"/>
      <c r="D16" s="121"/>
      <c r="E16" s="121"/>
      <c r="F16" s="121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2.75" customHeight="1" spans="1:26">
      <c r="A17" s="33"/>
      <c r="B17" s="5" t="s">
        <v>139</v>
      </c>
      <c r="C17" s="21"/>
      <c r="D17" s="21"/>
      <c r="E17" s="21"/>
      <c r="F17" s="2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2.75" customHeight="1" spans="1:26">
      <c r="A18" s="33"/>
      <c r="B18" s="44" t="s">
        <v>140</v>
      </c>
      <c r="C18" s="21"/>
      <c r="D18" s="21"/>
      <c r="E18" s="21"/>
      <c r="F18" s="21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customHeight="1" spans="1:26">
      <c r="A19" s="33"/>
      <c r="B19" s="60" t="s">
        <v>141</v>
      </c>
      <c r="C19" s="81"/>
      <c r="D19" s="60" t="s">
        <v>142</v>
      </c>
      <c r="E19" s="61"/>
      <c r="F19" s="61"/>
      <c r="G19" s="60" t="s">
        <v>25</v>
      </c>
      <c r="H19" s="81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51" customHeight="1" spans="1:26">
      <c r="A20" s="21"/>
      <c r="B20" s="122" t="s">
        <v>143</v>
      </c>
      <c r="C20" s="81"/>
      <c r="D20" s="122" t="s">
        <v>144</v>
      </c>
      <c r="E20" s="61"/>
      <c r="F20" s="61"/>
      <c r="G20" s="123"/>
      <c r="H20" s="8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 spans="1:26">
      <c r="A21" s="33"/>
      <c r="B21" s="33"/>
      <c r="C21" s="21"/>
      <c r="D21" s="21"/>
      <c r="E21" s="21"/>
      <c r="F21" s="21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2.75" customHeight="1" spans="1:26">
      <c r="A22" s="33"/>
      <c r="B22" s="33"/>
      <c r="C22" s="21"/>
      <c r="D22" s="21"/>
      <c r="E22" s="21"/>
      <c r="F22" s="21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2.75" customHeight="1" spans="1:26">
      <c r="A23" s="33"/>
      <c r="B23" s="5" t="s">
        <v>145</v>
      </c>
      <c r="C23" s="21"/>
      <c r="D23" s="21"/>
      <c r="E23" s="21"/>
      <c r="F23" s="21"/>
      <c r="G23" s="21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2.75" customHeight="1" spans="1:26">
      <c r="A24" s="33"/>
      <c r="B24" s="44" t="s">
        <v>146</v>
      </c>
      <c r="C24" s="21"/>
      <c r="D24" s="21"/>
      <c r="E24" s="21"/>
      <c r="F24" s="21"/>
      <c r="G24" s="21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2.75" customHeight="1" spans="1:26">
      <c r="A25" s="21"/>
      <c r="B25" s="124" t="s">
        <v>119</v>
      </c>
      <c r="C25" s="60" t="s">
        <v>147</v>
      </c>
      <c r="D25" s="61"/>
      <c r="E25" s="61"/>
      <c r="F25" s="81"/>
      <c r="G25" s="125" t="s">
        <v>25</v>
      </c>
      <c r="H25" s="8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 spans="1:26">
      <c r="A26" s="33"/>
      <c r="B26" s="126" t="s">
        <v>148</v>
      </c>
      <c r="C26" s="127" t="s">
        <v>149</v>
      </c>
      <c r="D26" s="61"/>
      <c r="E26" s="61"/>
      <c r="F26" s="81"/>
      <c r="G26" s="128" t="s">
        <v>150</v>
      </c>
      <c r="H26" s="81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2.75" customHeight="1" spans="1:26">
      <c r="A27" s="33"/>
      <c r="B27" s="126" t="s">
        <v>151</v>
      </c>
      <c r="C27" s="122" t="s">
        <v>152</v>
      </c>
      <c r="D27" s="61"/>
      <c r="E27" s="61"/>
      <c r="F27" s="81"/>
      <c r="G27" s="129"/>
      <c r="H27" s="81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2.75" customHeight="1" spans="1:26">
      <c r="A28" s="33"/>
      <c r="B28" s="126" t="s">
        <v>153</v>
      </c>
      <c r="C28" s="122" t="s">
        <v>154</v>
      </c>
      <c r="D28" s="61"/>
      <c r="E28" s="61"/>
      <c r="F28" s="81"/>
      <c r="G28" s="128"/>
      <c r="H28" s="81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2.75" customHeight="1" spans="1:26">
      <c r="A29" s="33"/>
      <c r="B29" s="130" t="s">
        <v>155</v>
      </c>
      <c r="C29" s="131" t="s">
        <v>156</v>
      </c>
      <c r="D29" s="61"/>
      <c r="E29" s="61"/>
      <c r="F29" s="81"/>
      <c r="G29" s="132"/>
      <c r="H29" s="81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2.75" customHeight="1" spans="1:26">
      <c r="A30" s="33"/>
      <c r="B30" s="133" t="s">
        <v>157</v>
      </c>
      <c r="C30" s="134" t="s">
        <v>158</v>
      </c>
      <c r="D30" s="61"/>
      <c r="E30" s="61"/>
      <c r="F30" s="81"/>
      <c r="G30" s="132"/>
      <c r="H30" s="81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2.75" customHeight="1" spans="1:26">
      <c r="A31" s="33"/>
      <c r="B31" s="130" t="s">
        <v>159</v>
      </c>
      <c r="C31" s="128" t="s">
        <v>160</v>
      </c>
      <c r="D31" s="61"/>
      <c r="E31" s="61"/>
      <c r="F31" s="81"/>
      <c r="G31" s="132"/>
      <c r="H31" s="81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75" customHeight="1" spans="1:26">
      <c r="A32" s="33"/>
      <c r="B32" s="33"/>
      <c r="C32" s="21"/>
      <c r="D32" s="21"/>
      <c r="E32" s="21"/>
      <c r="F32" s="21"/>
      <c r="G32" s="21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2.75" customHeight="1" spans="1:26">
      <c r="A33" s="33"/>
      <c r="B33" s="33"/>
      <c r="C33" s="21"/>
      <c r="D33" s="21"/>
      <c r="E33" s="21"/>
      <c r="F33" s="21"/>
      <c r="G33" s="21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2.75" customHeight="1" spans="1:26">
      <c r="A34" s="33"/>
      <c r="B34" s="5"/>
      <c r="C34" s="21"/>
      <c r="D34" s="21"/>
      <c r="E34" s="21"/>
      <c r="F34" s="21"/>
      <c r="G34" s="21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2.75" customHeight="1" spans="1:26">
      <c r="A35" s="33"/>
      <c r="B35" s="135"/>
      <c r="C35" s="136"/>
      <c r="D35" s="21"/>
      <c r="E35" s="21"/>
      <c r="F35" s="21"/>
      <c r="G35" s="21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2.75" customHeight="1" spans="1:26">
      <c r="A36" s="33"/>
      <c r="B36" s="137"/>
      <c r="C36" s="21"/>
      <c r="D36" s="21"/>
      <c r="E36" s="21"/>
      <c r="F36" s="21"/>
      <c r="G36" s="21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2.75" customHeight="1" spans="1:26">
      <c r="A37" s="33"/>
      <c r="B37" s="33"/>
      <c r="C37" s="21"/>
      <c r="D37" s="21"/>
      <c r="E37" s="21"/>
      <c r="F37" s="21"/>
      <c r="G37" s="21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2.75" customHeight="1" spans="1:26">
      <c r="A38" s="33"/>
      <c r="B38" s="33"/>
      <c r="C38" s="136"/>
      <c r="D38" s="21"/>
      <c r="E38" s="21"/>
      <c r="F38" s="21"/>
      <c r="G38" s="21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2.75" customHeight="1" spans="1:26">
      <c r="A39" s="33"/>
      <c r="B39" s="33"/>
      <c r="C39" s="21"/>
      <c r="D39" s="21"/>
      <c r="E39" s="21"/>
      <c r="F39" s="21"/>
      <c r="G39" s="21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2.75" customHeight="1" spans="1:26">
      <c r="A40" s="33"/>
      <c r="B40" s="33"/>
      <c r="C40" s="21"/>
      <c r="D40" s="21"/>
      <c r="E40" s="21"/>
      <c r="F40" s="21"/>
      <c r="G40" s="21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2.75" customHeight="1" spans="1:26">
      <c r="A41" s="33"/>
      <c r="B41" s="33"/>
      <c r="C41" s="21"/>
      <c r="D41" s="21"/>
      <c r="E41" s="21"/>
      <c r="F41" s="21"/>
      <c r="G41" s="21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2.75" customHeight="1" spans="1:26">
      <c r="A42" s="33"/>
      <c r="B42" s="33"/>
      <c r="C42" s="21"/>
      <c r="D42" s="21"/>
      <c r="E42" s="21"/>
      <c r="F42" s="21"/>
      <c r="G42" s="21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2.75" customHeight="1" spans="1:26">
      <c r="A43" s="33"/>
      <c r="B43" s="33"/>
      <c r="C43" s="21"/>
      <c r="D43" s="21"/>
      <c r="E43" s="21"/>
      <c r="F43" s="21"/>
      <c r="G43" s="21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2.75" customHeight="1" spans="1:26">
      <c r="A44" s="33"/>
      <c r="B44" s="33"/>
      <c r="C44" s="21"/>
      <c r="D44" s="21"/>
      <c r="E44" s="21"/>
      <c r="F44" s="21"/>
      <c r="G44" s="21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2.75" customHeight="1" spans="1:26">
      <c r="A45" s="33"/>
      <c r="B45" s="33"/>
      <c r="C45" s="21"/>
      <c r="D45" s="21"/>
      <c r="E45" s="21"/>
      <c r="F45" s="21"/>
      <c r="G45" s="21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2.75" customHeight="1" spans="1:26">
      <c r="A46" s="33"/>
      <c r="B46" s="33"/>
      <c r="C46" s="21"/>
      <c r="D46" s="21"/>
      <c r="E46" s="21"/>
      <c r="F46" s="21"/>
      <c r="G46" s="21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2.75" customHeight="1" spans="1:26">
      <c r="A47" s="33"/>
      <c r="B47" s="33"/>
      <c r="C47" s="21"/>
      <c r="D47" s="21"/>
      <c r="E47" s="21"/>
      <c r="F47" s="21"/>
      <c r="G47" s="21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2.75" customHeight="1" spans="1:26">
      <c r="A48" s="33"/>
      <c r="B48" s="33"/>
      <c r="C48" s="21"/>
      <c r="D48" s="21"/>
      <c r="E48" s="21"/>
      <c r="F48" s="21"/>
      <c r="G48" s="21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2.75" customHeight="1" spans="1:26">
      <c r="A49" s="33"/>
      <c r="B49" s="33"/>
      <c r="C49" s="21"/>
      <c r="D49" s="21"/>
      <c r="E49" s="21"/>
      <c r="F49" s="21"/>
      <c r="G49" s="21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2.75" customHeight="1" spans="1:26">
      <c r="A50" s="33"/>
      <c r="B50" s="33"/>
      <c r="C50" s="21"/>
      <c r="D50" s="21"/>
      <c r="E50" s="21"/>
      <c r="F50" s="21"/>
      <c r="G50" s="21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2.75" customHeight="1" spans="1:26">
      <c r="A51" s="33"/>
      <c r="B51" s="33"/>
      <c r="C51" s="21"/>
      <c r="D51" s="21"/>
      <c r="E51" s="21"/>
      <c r="F51" s="21"/>
      <c r="G51" s="21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2.75" customHeight="1" spans="1:26">
      <c r="A52" s="33"/>
      <c r="B52" s="33"/>
      <c r="C52" s="21"/>
      <c r="D52" s="21"/>
      <c r="E52" s="21"/>
      <c r="F52" s="21"/>
      <c r="G52" s="21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2.75" customHeight="1" spans="1:26">
      <c r="A53" s="33"/>
      <c r="B53" s="33"/>
      <c r="C53" s="21"/>
      <c r="D53" s="21"/>
      <c r="E53" s="21"/>
      <c r="F53" s="21"/>
      <c r="G53" s="21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2.75" customHeight="1" spans="1:26">
      <c r="A54" s="33"/>
      <c r="B54" s="33"/>
      <c r="C54" s="21"/>
      <c r="D54" s="21"/>
      <c r="E54" s="21"/>
      <c r="F54" s="21"/>
      <c r="G54" s="21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2.75" customHeight="1" spans="1:26">
      <c r="A55" s="33"/>
      <c r="B55" s="33"/>
      <c r="C55" s="21"/>
      <c r="D55" s="21"/>
      <c r="E55" s="21"/>
      <c r="F55" s="21"/>
      <c r="G55" s="21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2.75" customHeight="1" spans="1:26">
      <c r="A56" s="33"/>
      <c r="B56" s="33"/>
      <c r="C56" s="21"/>
      <c r="D56" s="21"/>
      <c r="E56" s="21"/>
      <c r="F56" s="21"/>
      <c r="G56" s="21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2.75" customHeight="1" spans="1:26">
      <c r="A57" s="33"/>
      <c r="B57" s="33"/>
      <c r="C57" s="21"/>
      <c r="D57" s="21"/>
      <c r="E57" s="21"/>
      <c r="F57" s="21"/>
      <c r="G57" s="21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2.75" customHeight="1" spans="1:26">
      <c r="A58" s="33"/>
      <c r="B58" s="33"/>
      <c r="C58" s="21"/>
      <c r="D58" s="21"/>
      <c r="E58" s="21"/>
      <c r="F58" s="21"/>
      <c r="G58" s="21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2.75" customHeight="1" spans="1:26">
      <c r="A59" s="33"/>
      <c r="B59" s="33"/>
      <c r="C59" s="21"/>
      <c r="D59" s="21"/>
      <c r="E59" s="21"/>
      <c r="F59" s="21"/>
      <c r="G59" s="21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2.75" customHeight="1" spans="1:26">
      <c r="A60" s="33"/>
      <c r="B60" s="33"/>
      <c r="C60" s="21"/>
      <c r="D60" s="21"/>
      <c r="E60" s="21"/>
      <c r="F60" s="21"/>
      <c r="G60" s="21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2.75" customHeight="1" spans="1:26">
      <c r="A61" s="33"/>
      <c r="B61" s="33"/>
      <c r="C61" s="21"/>
      <c r="D61" s="21"/>
      <c r="E61" s="21"/>
      <c r="F61" s="21"/>
      <c r="G61" s="21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2.75" customHeight="1" spans="1:26">
      <c r="A62" s="33"/>
      <c r="B62" s="33"/>
      <c r="C62" s="21"/>
      <c r="D62" s="21"/>
      <c r="E62" s="21"/>
      <c r="F62" s="21"/>
      <c r="G62" s="21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2.75" customHeight="1" spans="1:26">
      <c r="A63" s="33"/>
      <c r="B63" s="33"/>
      <c r="C63" s="21"/>
      <c r="D63" s="21"/>
      <c r="E63" s="21"/>
      <c r="F63" s="21"/>
      <c r="G63" s="21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2.75" customHeight="1" spans="1:26">
      <c r="A64" s="33"/>
      <c r="B64" s="33"/>
      <c r="C64" s="21"/>
      <c r="D64" s="21"/>
      <c r="E64" s="21"/>
      <c r="F64" s="21"/>
      <c r="G64" s="21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2.75" customHeight="1" spans="1:26">
      <c r="A65" s="33"/>
      <c r="B65" s="33"/>
      <c r="C65" s="21"/>
      <c r="D65" s="21"/>
      <c r="E65" s="21"/>
      <c r="F65" s="21"/>
      <c r="G65" s="21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2.75" customHeight="1" spans="1:26">
      <c r="A66" s="33"/>
      <c r="B66" s="33"/>
      <c r="C66" s="21"/>
      <c r="D66" s="21"/>
      <c r="E66" s="21"/>
      <c r="F66" s="21"/>
      <c r="G66" s="21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2.75" customHeight="1" spans="1:26">
      <c r="A67" s="33"/>
      <c r="B67" s="33"/>
      <c r="C67" s="21"/>
      <c r="D67" s="21"/>
      <c r="E67" s="21"/>
      <c r="F67" s="21"/>
      <c r="G67" s="21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2.75" customHeight="1" spans="1:26">
      <c r="A68" s="33"/>
      <c r="B68" s="33"/>
      <c r="C68" s="21"/>
      <c r="D68" s="21"/>
      <c r="E68" s="21"/>
      <c r="F68" s="21"/>
      <c r="G68" s="21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2.75" customHeight="1" spans="1:26">
      <c r="A69" s="33"/>
      <c r="B69" s="33"/>
      <c r="C69" s="21"/>
      <c r="D69" s="21"/>
      <c r="E69" s="21"/>
      <c r="F69" s="21"/>
      <c r="G69" s="21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2.75" customHeight="1" spans="1:26">
      <c r="A70" s="33"/>
      <c r="B70" s="33"/>
      <c r="C70" s="21"/>
      <c r="D70" s="21"/>
      <c r="E70" s="21"/>
      <c r="F70" s="21"/>
      <c r="G70" s="21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2.75" customHeight="1" spans="1:26">
      <c r="A71" s="33"/>
      <c r="B71" s="33"/>
      <c r="C71" s="21"/>
      <c r="D71" s="21"/>
      <c r="E71" s="21"/>
      <c r="F71" s="21"/>
      <c r="G71" s="21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2.75" customHeight="1" spans="1:26">
      <c r="A72" s="33"/>
      <c r="B72" s="33"/>
      <c r="C72" s="21"/>
      <c r="D72" s="21"/>
      <c r="E72" s="21"/>
      <c r="F72" s="21"/>
      <c r="G72" s="21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2.75" customHeight="1" spans="1:26">
      <c r="A73" s="33"/>
      <c r="B73" s="33"/>
      <c r="C73" s="21"/>
      <c r="D73" s="21"/>
      <c r="E73" s="21"/>
      <c r="F73" s="21"/>
      <c r="G73" s="21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2.75" customHeight="1" spans="1:26">
      <c r="A74" s="33"/>
      <c r="B74" s="33"/>
      <c r="C74" s="21"/>
      <c r="D74" s="21"/>
      <c r="E74" s="21"/>
      <c r="F74" s="21"/>
      <c r="G74" s="21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2.75" customHeight="1" spans="1:26">
      <c r="A75" s="33"/>
      <c r="B75" s="33"/>
      <c r="C75" s="21"/>
      <c r="D75" s="21"/>
      <c r="E75" s="21"/>
      <c r="F75" s="21"/>
      <c r="G75" s="21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2.75" customHeight="1" spans="1:26">
      <c r="A76" s="33"/>
      <c r="B76" s="33"/>
      <c r="C76" s="21"/>
      <c r="D76" s="21"/>
      <c r="E76" s="21"/>
      <c r="F76" s="21"/>
      <c r="G76" s="21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2.75" customHeight="1" spans="1:26">
      <c r="A77" s="33"/>
      <c r="B77" s="33"/>
      <c r="C77" s="21"/>
      <c r="D77" s="21"/>
      <c r="E77" s="21"/>
      <c r="F77" s="21"/>
      <c r="G77" s="21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2.75" customHeight="1" spans="1:26">
      <c r="A78" s="33"/>
      <c r="B78" s="33"/>
      <c r="C78" s="21"/>
      <c r="D78" s="21"/>
      <c r="E78" s="21"/>
      <c r="F78" s="21"/>
      <c r="G78" s="21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2.75" customHeight="1" spans="1:26">
      <c r="A79" s="33"/>
      <c r="B79" s="33"/>
      <c r="C79" s="21"/>
      <c r="D79" s="21"/>
      <c r="E79" s="21"/>
      <c r="F79" s="21"/>
      <c r="G79" s="21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2.75" customHeight="1" spans="1:26">
      <c r="A80" s="33"/>
      <c r="B80" s="33"/>
      <c r="C80" s="21"/>
      <c r="D80" s="21"/>
      <c r="E80" s="21"/>
      <c r="F80" s="21"/>
      <c r="G80" s="21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2.75" customHeight="1" spans="1:26">
      <c r="A81" s="33"/>
      <c r="B81" s="33"/>
      <c r="C81" s="21"/>
      <c r="D81" s="21"/>
      <c r="E81" s="21"/>
      <c r="F81" s="21"/>
      <c r="G81" s="21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2.75" customHeight="1" spans="1:26">
      <c r="A82" s="33"/>
      <c r="B82" s="33"/>
      <c r="C82" s="21"/>
      <c r="D82" s="21"/>
      <c r="E82" s="21"/>
      <c r="F82" s="21"/>
      <c r="G82" s="21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2.75" customHeight="1" spans="1:26">
      <c r="A83" s="33"/>
      <c r="B83" s="33"/>
      <c r="C83" s="21"/>
      <c r="D83" s="21"/>
      <c r="E83" s="21"/>
      <c r="F83" s="21"/>
      <c r="G83" s="21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2.75" customHeight="1" spans="1:26">
      <c r="A84" s="33"/>
      <c r="B84" s="33"/>
      <c r="C84" s="21"/>
      <c r="D84" s="21"/>
      <c r="E84" s="21"/>
      <c r="F84" s="21"/>
      <c r="G84" s="21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2.75" customHeight="1" spans="1:26">
      <c r="A85" s="33"/>
      <c r="B85" s="33"/>
      <c r="C85" s="21"/>
      <c r="D85" s="21"/>
      <c r="E85" s="21"/>
      <c r="F85" s="21"/>
      <c r="G85" s="21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2.75" customHeight="1" spans="1:26">
      <c r="A86" s="33"/>
      <c r="B86" s="33"/>
      <c r="C86" s="21"/>
      <c r="D86" s="21"/>
      <c r="E86" s="21"/>
      <c r="F86" s="21"/>
      <c r="G86" s="21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2.75" customHeight="1" spans="1:26">
      <c r="A87" s="33"/>
      <c r="B87" s="33"/>
      <c r="C87" s="21"/>
      <c r="D87" s="21"/>
      <c r="E87" s="21"/>
      <c r="F87" s="21"/>
      <c r="G87" s="21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2.75" customHeight="1" spans="1:26">
      <c r="A88" s="33"/>
      <c r="B88" s="33"/>
      <c r="C88" s="21"/>
      <c r="D88" s="21"/>
      <c r="E88" s="21"/>
      <c r="F88" s="21"/>
      <c r="G88" s="21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2.75" customHeight="1" spans="1:26">
      <c r="A89" s="33"/>
      <c r="B89" s="33"/>
      <c r="C89" s="21"/>
      <c r="D89" s="21"/>
      <c r="E89" s="21"/>
      <c r="F89" s="21"/>
      <c r="G89" s="21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2.75" customHeight="1" spans="1:26">
      <c r="A90" s="33"/>
      <c r="B90" s="33"/>
      <c r="C90" s="21"/>
      <c r="D90" s="21"/>
      <c r="E90" s="21"/>
      <c r="F90" s="21"/>
      <c r="G90" s="21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2.75" customHeight="1" spans="1:26">
      <c r="A91" s="33"/>
      <c r="B91" s="33"/>
      <c r="C91" s="21"/>
      <c r="D91" s="21"/>
      <c r="E91" s="21"/>
      <c r="F91" s="21"/>
      <c r="G91" s="21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2.75" customHeight="1" spans="1:26">
      <c r="A92" s="33"/>
      <c r="B92" s="33"/>
      <c r="C92" s="21"/>
      <c r="D92" s="21"/>
      <c r="E92" s="21"/>
      <c r="F92" s="21"/>
      <c r="G92" s="21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2.75" customHeight="1" spans="1:26">
      <c r="A93" s="33"/>
      <c r="B93" s="33"/>
      <c r="C93" s="21"/>
      <c r="D93" s="21"/>
      <c r="E93" s="21"/>
      <c r="F93" s="21"/>
      <c r="G93" s="21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2.75" customHeight="1" spans="1:26">
      <c r="A94" s="33"/>
      <c r="B94" s="33"/>
      <c r="C94" s="21"/>
      <c r="D94" s="21"/>
      <c r="E94" s="21"/>
      <c r="F94" s="21"/>
      <c r="G94" s="21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2.75" customHeight="1" spans="1:26">
      <c r="A95" s="33"/>
      <c r="B95" s="33"/>
      <c r="C95" s="21"/>
      <c r="D95" s="21"/>
      <c r="E95" s="21"/>
      <c r="F95" s="21"/>
      <c r="G95" s="21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2.75" customHeight="1" spans="1:26">
      <c r="A96" s="33"/>
      <c r="B96" s="33"/>
      <c r="C96" s="21"/>
      <c r="D96" s="21"/>
      <c r="E96" s="21"/>
      <c r="F96" s="21"/>
      <c r="G96" s="21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2.75" customHeight="1" spans="1:26">
      <c r="A97" s="33"/>
      <c r="B97" s="33"/>
      <c r="C97" s="21"/>
      <c r="D97" s="21"/>
      <c r="E97" s="21"/>
      <c r="F97" s="21"/>
      <c r="G97" s="21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2.75" customHeight="1" spans="1:26">
      <c r="A98" s="33"/>
      <c r="B98" s="33"/>
      <c r="C98" s="21"/>
      <c r="D98" s="21"/>
      <c r="E98" s="21"/>
      <c r="F98" s="21"/>
      <c r="G98" s="21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2.75" customHeight="1" spans="1:26">
      <c r="A99" s="33"/>
      <c r="B99" s="33"/>
      <c r="C99" s="21"/>
      <c r="D99" s="21"/>
      <c r="E99" s="21"/>
      <c r="F99" s="21"/>
      <c r="G99" s="21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2.75" customHeight="1" spans="1:26">
      <c r="A100" s="33"/>
      <c r="B100" s="33"/>
      <c r="C100" s="21"/>
      <c r="D100" s="21"/>
      <c r="E100" s="21"/>
      <c r="F100" s="21"/>
      <c r="G100" s="21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2.75" customHeight="1" spans="1:26">
      <c r="A101" s="33"/>
      <c r="B101" s="33"/>
      <c r="C101" s="21"/>
      <c r="D101" s="21"/>
      <c r="E101" s="21"/>
      <c r="F101" s="21"/>
      <c r="G101" s="21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2.75" customHeight="1" spans="1:26">
      <c r="A102" s="33"/>
      <c r="B102" s="33"/>
      <c r="C102" s="21"/>
      <c r="D102" s="21"/>
      <c r="E102" s="21"/>
      <c r="F102" s="21"/>
      <c r="G102" s="21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2.75" customHeight="1" spans="1:26">
      <c r="A103" s="33"/>
      <c r="B103" s="33"/>
      <c r="C103" s="21"/>
      <c r="D103" s="21"/>
      <c r="E103" s="21"/>
      <c r="F103" s="21"/>
      <c r="G103" s="21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2.75" customHeight="1" spans="1:26">
      <c r="A104" s="33"/>
      <c r="B104" s="33"/>
      <c r="C104" s="21"/>
      <c r="D104" s="21"/>
      <c r="E104" s="21"/>
      <c r="F104" s="21"/>
      <c r="G104" s="21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2.75" customHeight="1" spans="1:26">
      <c r="A105" s="33"/>
      <c r="B105" s="33"/>
      <c r="C105" s="21"/>
      <c r="D105" s="21"/>
      <c r="E105" s="21"/>
      <c r="F105" s="21"/>
      <c r="G105" s="21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2.75" customHeight="1" spans="1:26">
      <c r="A106" s="33"/>
      <c r="B106" s="33"/>
      <c r="C106" s="21"/>
      <c r="D106" s="21"/>
      <c r="E106" s="21"/>
      <c r="F106" s="21"/>
      <c r="G106" s="21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2.75" customHeight="1" spans="1:26">
      <c r="A107" s="33"/>
      <c r="B107" s="33"/>
      <c r="C107" s="21"/>
      <c r="D107" s="21"/>
      <c r="E107" s="21"/>
      <c r="F107" s="21"/>
      <c r="G107" s="21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2.75" customHeight="1" spans="1:26">
      <c r="A108" s="33"/>
      <c r="B108" s="33"/>
      <c r="C108" s="21"/>
      <c r="D108" s="21"/>
      <c r="E108" s="21"/>
      <c r="F108" s="21"/>
      <c r="G108" s="21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2.75" customHeight="1" spans="1:26">
      <c r="A109" s="33"/>
      <c r="B109" s="33"/>
      <c r="C109" s="21"/>
      <c r="D109" s="21"/>
      <c r="E109" s="21"/>
      <c r="F109" s="21"/>
      <c r="G109" s="21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2.75" customHeight="1" spans="1:26">
      <c r="A110" s="33"/>
      <c r="B110" s="33"/>
      <c r="C110" s="21"/>
      <c r="D110" s="21"/>
      <c r="E110" s="21"/>
      <c r="F110" s="21"/>
      <c r="G110" s="21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2.75" customHeight="1" spans="1:26">
      <c r="A111" s="33"/>
      <c r="B111" s="33"/>
      <c r="C111" s="21"/>
      <c r="D111" s="21"/>
      <c r="E111" s="21"/>
      <c r="F111" s="21"/>
      <c r="G111" s="21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2.75" customHeight="1" spans="1:26">
      <c r="A112" s="33"/>
      <c r="B112" s="33"/>
      <c r="C112" s="21"/>
      <c r="D112" s="21"/>
      <c r="E112" s="21"/>
      <c r="F112" s="21"/>
      <c r="G112" s="21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2.75" customHeight="1" spans="1:26">
      <c r="A113" s="33"/>
      <c r="B113" s="33"/>
      <c r="C113" s="21"/>
      <c r="D113" s="21"/>
      <c r="E113" s="21"/>
      <c r="F113" s="21"/>
      <c r="G113" s="21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2.75" customHeight="1" spans="1:26">
      <c r="A114" s="33"/>
      <c r="B114" s="33"/>
      <c r="C114" s="21"/>
      <c r="D114" s="21"/>
      <c r="E114" s="21"/>
      <c r="F114" s="21"/>
      <c r="G114" s="21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2.75" customHeight="1" spans="1:26">
      <c r="A115" s="33"/>
      <c r="B115" s="33"/>
      <c r="C115" s="21"/>
      <c r="D115" s="21"/>
      <c r="E115" s="21"/>
      <c r="F115" s="21"/>
      <c r="G115" s="21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2.75" customHeight="1" spans="1:26">
      <c r="A116" s="33"/>
      <c r="B116" s="33"/>
      <c r="C116" s="21"/>
      <c r="D116" s="21"/>
      <c r="E116" s="21"/>
      <c r="F116" s="21"/>
      <c r="G116" s="21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2.75" customHeight="1" spans="1:26">
      <c r="A117" s="33"/>
      <c r="B117" s="33"/>
      <c r="C117" s="21"/>
      <c r="D117" s="21"/>
      <c r="E117" s="21"/>
      <c r="F117" s="21"/>
      <c r="G117" s="21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2.75" customHeight="1" spans="1:26">
      <c r="A118" s="33"/>
      <c r="B118" s="33"/>
      <c r="C118" s="21"/>
      <c r="D118" s="21"/>
      <c r="E118" s="21"/>
      <c r="F118" s="21"/>
      <c r="G118" s="21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2.75" customHeight="1" spans="1:26">
      <c r="A119" s="33"/>
      <c r="B119" s="33"/>
      <c r="C119" s="21"/>
      <c r="D119" s="21"/>
      <c r="E119" s="21"/>
      <c r="F119" s="21"/>
      <c r="G119" s="21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2.75" customHeight="1" spans="1:26">
      <c r="A120" s="33"/>
      <c r="B120" s="33"/>
      <c r="C120" s="21"/>
      <c r="D120" s="21"/>
      <c r="E120" s="21"/>
      <c r="F120" s="21"/>
      <c r="G120" s="21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2.75" customHeight="1" spans="1:26">
      <c r="A121" s="33"/>
      <c r="B121" s="33"/>
      <c r="C121" s="21"/>
      <c r="D121" s="21"/>
      <c r="E121" s="21"/>
      <c r="F121" s="21"/>
      <c r="G121" s="21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2.75" customHeight="1" spans="1:26">
      <c r="A122" s="33"/>
      <c r="B122" s="33"/>
      <c r="C122" s="21"/>
      <c r="D122" s="21"/>
      <c r="E122" s="21"/>
      <c r="F122" s="21"/>
      <c r="G122" s="21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2.75" customHeight="1" spans="1:26">
      <c r="A123" s="33"/>
      <c r="B123" s="33"/>
      <c r="C123" s="21"/>
      <c r="D123" s="21"/>
      <c r="E123" s="21"/>
      <c r="F123" s="21"/>
      <c r="G123" s="21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2.75" customHeight="1" spans="1:26">
      <c r="A124" s="33"/>
      <c r="B124" s="33"/>
      <c r="C124" s="21"/>
      <c r="D124" s="21"/>
      <c r="E124" s="21"/>
      <c r="F124" s="21"/>
      <c r="G124" s="21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2.75" customHeight="1" spans="1:26">
      <c r="A125" s="33"/>
      <c r="B125" s="33"/>
      <c r="C125" s="21"/>
      <c r="D125" s="21"/>
      <c r="E125" s="21"/>
      <c r="F125" s="21"/>
      <c r="G125" s="21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2.75" customHeight="1" spans="1:26">
      <c r="A126" s="33"/>
      <c r="B126" s="33"/>
      <c r="C126" s="21"/>
      <c r="D126" s="21"/>
      <c r="E126" s="21"/>
      <c r="F126" s="21"/>
      <c r="G126" s="21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2.75" customHeight="1" spans="1:26">
      <c r="A127" s="33"/>
      <c r="B127" s="33"/>
      <c r="C127" s="21"/>
      <c r="D127" s="21"/>
      <c r="E127" s="21"/>
      <c r="F127" s="21"/>
      <c r="G127" s="21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2.75" customHeight="1" spans="1:26">
      <c r="A128" s="33"/>
      <c r="B128" s="33"/>
      <c r="C128" s="21"/>
      <c r="D128" s="21"/>
      <c r="E128" s="21"/>
      <c r="F128" s="21"/>
      <c r="G128" s="21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2.75" customHeight="1" spans="1:26">
      <c r="A129" s="33"/>
      <c r="B129" s="33"/>
      <c r="C129" s="21"/>
      <c r="D129" s="21"/>
      <c r="E129" s="21"/>
      <c r="F129" s="21"/>
      <c r="G129" s="21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2.75" customHeight="1" spans="1:26">
      <c r="A130" s="33"/>
      <c r="B130" s="33"/>
      <c r="C130" s="21"/>
      <c r="D130" s="21"/>
      <c r="E130" s="21"/>
      <c r="F130" s="21"/>
      <c r="G130" s="21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2.75" customHeight="1" spans="1:26">
      <c r="A131" s="33"/>
      <c r="B131" s="33"/>
      <c r="C131" s="21"/>
      <c r="D131" s="21"/>
      <c r="E131" s="21"/>
      <c r="F131" s="21"/>
      <c r="G131" s="21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2.75" customHeight="1" spans="1:26">
      <c r="A132" s="33"/>
      <c r="B132" s="33"/>
      <c r="C132" s="21"/>
      <c r="D132" s="21"/>
      <c r="E132" s="21"/>
      <c r="F132" s="21"/>
      <c r="G132" s="21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2.75" customHeight="1" spans="1:26">
      <c r="A133" s="33"/>
      <c r="B133" s="33"/>
      <c r="C133" s="21"/>
      <c r="D133" s="21"/>
      <c r="E133" s="21"/>
      <c r="F133" s="21"/>
      <c r="G133" s="21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2.75" customHeight="1" spans="1:26">
      <c r="A134" s="33"/>
      <c r="B134" s="33"/>
      <c r="C134" s="21"/>
      <c r="D134" s="21"/>
      <c r="E134" s="21"/>
      <c r="F134" s="21"/>
      <c r="G134" s="21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2.75" customHeight="1" spans="1:26">
      <c r="A135" s="33"/>
      <c r="B135" s="33"/>
      <c r="C135" s="21"/>
      <c r="D135" s="21"/>
      <c r="E135" s="21"/>
      <c r="F135" s="21"/>
      <c r="G135" s="21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2.75" customHeight="1" spans="1:26">
      <c r="A136" s="33"/>
      <c r="B136" s="33"/>
      <c r="C136" s="21"/>
      <c r="D136" s="21"/>
      <c r="E136" s="21"/>
      <c r="F136" s="21"/>
      <c r="G136" s="21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2.75" customHeight="1" spans="1:26">
      <c r="A137" s="33"/>
      <c r="B137" s="33"/>
      <c r="C137" s="21"/>
      <c r="D137" s="21"/>
      <c r="E137" s="21"/>
      <c r="F137" s="21"/>
      <c r="G137" s="21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2.75" customHeight="1" spans="1:26">
      <c r="A138" s="33"/>
      <c r="B138" s="33"/>
      <c r="C138" s="21"/>
      <c r="D138" s="21"/>
      <c r="E138" s="21"/>
      <c r="F138" s="21"/>
      <c r="G138" s="21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2.75" customHeight="1" spans="1:26">
      <c r="A139" s="33"/>
      <c r="B139" s="33"/>
      <c r="C139" s="21"/>
      <c r="D139" s="21"/>
      <c r="E139" s="21"/>
      <c r="F139" s="21"/>
      <c r="G139" s="21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2.75" customHeight="1" spans="1:26">
      <c r="A140" s="33"/>
      <c r="B140" s="33"/>
      <c r="C140" s="21"/>
      <c r="D140" s="21"/>
      <c r="E140" s="21"/>
      <c r="F140" s="21"/>
      <c r="G140" s="21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2.75" customHeight="1" spans="1:26">
      <c r="A141" s="33"/>
      <c r="B141" s="33"/>
      <c r="C141" s="21"/>
      <c r="D141" s="21"/>
      <c r="E141" s="21"/>
      <c r="F141" s="21"/>
      <c r="G141" s="21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2.75" customHeight="1" spans="1:26">
      <c r="A142" s="33"/>
      <c r="B142" s="33"/>
      <c r="C142" s="21"/>
      <c r="D142" s="21"/>
      <c r="E142" s="21"/>
      <c r="F142" s="21"/>
      <c r="G142" s="21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2.75" customHeight="1" spans="1:26">
      <c r="A143" s="33"/>
      <c r="B143" s="33"/>
      <c r="C143" s="21"/>
      <c r="D143" s="21"/>
      <c r="E143" s="21"/>
      <c r="F143" s="21"/>
      <c r="G143" s="21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2.75" customHeight="1" spans="1:26">
      <c r="A144" s="33"/>
      <c r="B144" s="33"/>
      <c r="C144" s="21"/>
      <c r="D144" s="21"/>
      <c r="E144" s="21"/>
      <c r="F144" s="21"/>
      <c r="G144" s="21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2.75" customHeight="1" spans="1:26">
      <c r="A145" s="33"/>
      <c r="B145" s="33"/>
      <c r="C145" s="21"/>
      <c r="D145" s="21"/>
      <c r="E145" s="21"/>
      <c r="F145" s="21"/>
      <c r="G145" s="21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2.75" customHeight="1" spans="1:26">
      <c r="A146" s="33"/>
      <c r="B146" s="33"/>
      <c r="C146" s="21"/>
      <c r="D146" s="21"/>
      <c r="E146" s="21"/>
      <c r="F146" s="21"/>
      <c r="G146" s="21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2.75" customHeight="1" spans="1:26">
      <c r="A147" s="33"/>
      <c r="B147" s="33"/>
      <c r="C147" s="21"/>
      <c r="D147" s="21"/>
      <c r="E147" s="21"/>
      <c r="F147" s="21"/>
      <c r="G147" s="21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2.75" customHeight="1" spans="1:26">
      <c r="A148" s="33"/>
      <c r="B148" s="33"/>
      <c r="C148" s="21"/>
      <c r="D148" s="21"/>
      <c r="E148" s="21"/>
      <c r="F148" s="21"/>
      <c r="G148" s="21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2.75" customHeight="1" spans="1:26">
      <c r="A149" s="33"/>
      <c r="B149" s="33"/>
      <c r="C149" s="21"/>
      <c r="D149" s="21"/>
      <c r="E149" s="21"/>
      <c r="F149" s="21"/>
      <c r="G149" s="21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2.75" customHeight="1" spans="1:26">
      <c r="A150" s="33"/>
      <c r="B150" s="33"/>
      <c r="C150" s="21"/>
      <c r="D150" s="21"/>
      <c r="E150" s="21"/>
      <c r="F150" s="21"/>
      <c r="G150" s="21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2.75" customHeight="1" spans="1:26">
      <c r="A151" s="33"/>
      <c r="B151" s="33"/>
      <c r="C151" s="21"/>
      <c r="D151" s="21"/>
      <c r="E151" s="21"/>
      <c r="F151" s="21"/>
      <c r="G151" s="21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2.75" customHeight="1" spans="1:26">
      <c r="A152" s="33"/>
      <c r="B152" s="33"/>
      <c r="C152" s="21"/>
      <c r="D152" s="21"/>
      <c r="E152" s="21"/>
      <c r="F152" s="21"/>
      <c r="G152" s="21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2.75" customHeight="1" spans="1:26">
      <c r="A153" s="33"/>
      <c r="B153" s="33"/>
      <c r="C153" s="21"/>
      <c r="D153" s="21"/>
      <c r="E153" s="21"/>
      <c r="F153" s="21"/>
      <c r="G153" s="21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2.75" customHeight="1" spans="1:26">
      <c r="A154" s="33"/>
      <c r="B154" s="33"/>
      <c r="C154" s="21"/>
      <c r="D154" s="21"/>
      <c r="E154" s="21"/>
      <c r="F154" s="21"/>
      <c r="G154" s="21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2.75" customHeight="1" spans="1:26">
      <c r="A155" s="33"/>
      <c r="B155" s="33"/>
      <c r="C155" s="21"/>
      <c r="D155" s="21"/>
      <c r="E155" s="21"/>
      <c r="F155" s="21"/>
      <c r="G155" s="21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2.75" customHeight="1" spans="1:26">
      <c r="A156" s="33"/>
      <c r="B156" s="33"/>
      <c r="C156" s="21"/>
      <c r="D156" s="21"/>
      <c r="E156" s="21"/>
      <c r="F156" s="21"/>
      <c r="G156" s="21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2.75" customHeight="1" spans="1:26">
      <c r="A157" s="33"/>
      <c r="B157" s="33"/>
      <c r="C157" s="21"/>
      <c r="D157" s="21"/>
      <c r="E157" s="21"/>
      <c r="F157" s="21"/>
      <c r="G157" s="21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2.75" customHeight="1" spans="1:26">
      <c r="A158" s="33"/>
      <c r="B158" s="33"/>
      <c r="C158" s="21"/>
      <c r="D158" s="21"/>
      <c r="E158" s="21"/>
      <c r="F158" s="21"/>
      <c r="G158" s="21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2.75" customHeight="1" spans="1:26">
      <c r="A159" s="33"/>
      <c r="B159" s="33"/>
      <c r="C159" s="21"/>
      <c r="D159" s="21"/>
      <c r="E159" s="21"/>
      <c r="F159" s="21"/>
      <c r="G159" s="21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2.75" customHeight="1" spans="1:26">
      <c r="A160" s="33"/>
      <c r="B160" s="33"/>
      <c r="C160" s="21"/>
      <c r="D160" s="21"/>
      <c r="E160" s="21"/>
      <c r="F160" s="21"/>
      <c r="G160" s="21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2.75" customHeight="1" spans="1:26">
      <c r="A161" s="33"/>
      <c r="B161" s="33"/>
      <c r="C161" s="21"/>
      <c r="D161" s="21"/>
      <c r="E161" s="21"/>
      <c r="F161" s="21"/>
      <c r="G161" s="21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2.75" customHeight="1" spans="1:26">
      <c r="A162" s="33"/>
      <c r="B162" s="33"/>
      <c r="C162" s="21"/>
      <c r="D162" s="21"/>
      <c r="E162" s="21"/>
      <c r="F162" s="21"/>
      <c r="G162" s="21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2.75" customHeight="1" spans="1:26">
      <c r="A163" s="33"/>
      <c r="B163" s="33"/>
      <c r="C163" s="21"/>
      <c r="D163" s="21"/>
      <c r="E163" s="21"/>
      <c r="F163" s="21"/>
      <c r="G163" s="21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2.75" customHeight="1" spans="1:26">
      <c r="A164" s="33"/>
      <c r="B164" s="33"/>
      <c r="C164" s="21"/>
      <c r="D164" s="21"/>
      <c r="E164" s="21"/>
      <c r="F164" s="21"/>
      <c r="G164" s="21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2.75" customHeight="1" spans="1:26">
      <c r="A165" s="33"/>
      <c r="B165" s="33"/>
      <c r="C165" s="21"/>
      <c r="D165" s="21"/>
      <c r="E165" s="21"/>
      <c r="F165" s="21"/>
      <c r="G165" s="21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2.75" customHeight="1" spans="1:26">
      <c r="A166" s="33"/>
      <c r="B166" s="33"/>
      <c r="C166" s="21"/>
      <c r="D166" s="21"/>
      <c r="E166" s="21"/>
      <c r="F166" s="21"/>
      <c r="G166" s="21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2.75" customHeight="1" spans="1:26">
      <c r="A167" s="33"/>
      <c r="B167" s="33"/>
      <c r="C167" s="21"/>
      <c r="D167" s="21"/>
      <c r="E167" s="21"/>
      <c r="F167" s="21"/>
      <c r="G167" s="21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2.75" customHeight="1" spans="1:26">
      <c r="A168" s="33"/>
      <c r="B168" s="33"/>
      <c r="C168" s="21"/>
      <c r="D168" s="21"/>
      <c r="E168" s="21"/>
      <c r="F168" s="21"/>
      <c r="G168" s="21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2.75" customHeight="1" spans="1:26">
      <c r="A169" s="33"/>
      <c r="B169" s="33"/>
      <c r="C169" s="21"/>
      <c r="D169" s="21"/>
      <c r="E169" s="21"/>
      <c r="F169" s="21"/>
      <c r="G169" s="21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2.75" customHeight="1" spans="1:26">
      <c r="A170" s="33"/>
      <c r="B170" s="33"/>
      <c r="C170" s="21"/>
      <c r="D170" s="21"/>
      <c r="E170" s="21"/>
      <c r="F170" s="21"/>
      <c r="G170" s="21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2.75" customHeight="1" spans="1:26">
      <c r="A171" s="33"/>
      <c r="B171" s="33"/>
      <c r="C171" s="21"/>
      <c r="D171" s="21"/>
      <c r="E171" s="21"/>
      <c r="F171" s="21"/>
      <c r="G171" s="21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2.75" customHeight="1" spans="1:26">
      <c r="A172" s="33"/>
      <c r="B172" s="33"/>
      <c r="C172" s="21"/>
      <c r="D172" s="21"/>
      <c r="E172" s="21"/>
      <c r="F172" s="21"/>
      <c r="G172" s="21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2.75" customHeight="1" spans="1:26">
      <c r="A173" s="33"/>
      <c r="B173" s="33"/>
      <c r="C173" s="21"/>
      <c r="D173" s="21"/>
      <c r="E173" s="21"/>
      <c r="F173" s="21"/>
      <c r="G173" s="21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2.75" customHeight="1" spans="1:26">
      <c r="A174" s="33"/>
      <c r="B174" s="33"/>
      <c r="C174" s="21"/>
      <c r="D174" s="21"/>
      <c r="E174" s="21"/>
      <c r="F174" s="21"/>
      <c r="G174" s="21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2.75" customHeight="1" spans="1:26">
      <c r="A175" s="33"/>
      <c r="B175" s="33"/>
      <c r="C175" s="21"/>
      <c r="D175" s="21"/>
      <c r="E175" s="21"/>
      <c r="F175" s="21"/>
      <c r="G175" s="21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2.75" customHeight="1" spans="1:26">
      <c r="A176" s="33"/>
      <c r="B176" s="33"/>
      <c r="C176" s="21"/>
      <c r="D176" s="21"/>
      <c r="E176" s="21"/>
      <c r="F176" s="21"/>
      <c r="G176" s="21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2.75" customHeight="1" spans="1:26">
      <c r="A177" s="33"/>
      <c r="B177" s="33"/>
      <c r="C177" s="21"/>
      <c r="D177" s="21"/>
      <c r="E177" s="21"/>
      <c r="F177" s="21"/>
      <c r="G177" s="21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2.75" customHeight="1" spans="1:26">
      <c r="A178" s="33"/>
      <c r="B178" s="33"/>
      <c r="C178" s="21"/>
      <c r="D178" s="21"/>
      <c r="E178" s="21"/>
      <c r="F178" s="21"/>
      <c r="G178" s="21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2.75" customHeight="1" spans="1:26">
      <c r="A179" s="33"/>
      <c r="B179" s="33"/>
      <c r="C179" s="21"/>
      <c r="D179" s="21"/>
      <c r="E179" s="21"/>
      <c r="F179" s="21"/>
      <c r="G179" s="21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2.75" customHeight="1" spans="1:26">
      <c r="A180" s="33"/>
      <c r="B180" s="33"/>
      <c r="C180" s="21"/>
      <c r="D180" s="21"/>
      <c r="E180" s="21"/>
      <c r="F180" s="21"/>
      <c r="G180" s="21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2.75" customHeight="1" spans="1:26">
      <c r="A181" s="33"/>
      <c r="B181" s="33"/>
      <c r="C181" s="21"/>
      <c r="D181" s="21"/>
      <c r="E181" s="21"/>
      <c r="F181" s="21"/>
      <c r="G181" s="21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2.75" customHeight="1" spans="1:26">
      <c r="A182" s="33"/>
      <c r="B182" s="33"/>
      <c r="C182" s="21"/>
      <c r="D182" s="21"/>
      <c r="E182" s="21"/>
      <c r="F182" s="21"/>
      <c r="G182" s="21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2.75" customHeight="1" spans="1:26">
      <c r="A183" s="33"/>
      <c r="B183" s="33"/>
      <c r="C183" s="21"/>
      <c r="D183" s="21"/>
      <c r="E183" s="21"/>
      <c r="F183" s="21"/>
      <c r="G183" s="21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2.75" customHeight="1" spans="1:26">
      <c r="A184" s="33"/>
      <c r="B184" s="33"/>
      <c r="C184" s="21"/>
      <c r="D184" s="21"/>
      <c r="E184" s="21"/>
      <c r="F184" s="21"/>
      <c r="G184" s="21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2.75" customHeight="1" spans="1:26">
      <c r="A185" s="33"/>
      <c r="B185" s="33"/>
      <c r="C185" s="21"/>
      <c r="D185" s="21"/>
      <c r="E185" s="21"/>
      <c r="F185" s="21"/>
      <c r="G185" s="21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2.75" customHeight="1" spans="1:26">
      <c r="A186" s="33"/>
      <c r="B186" s="33"/>
      <c r="C186" s="21"/>
      <c r="D186" s="21"/>
      <c r="E186" s="21"/>
      <c r="F186" s="21"/>
      <c r="G186" s="21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2.75" customHeight="1" spans="1:26">
      <c r="A187" s="33"/>
      <c r="B187" s="33"/>
      <c r="C187" s="21"/>
      <c r="D187" s="21"/>
      <c r="E187" s="21"/>
      <c r="F187" s="21"/>
      <c r="G187" s="21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2.75" customHeight="1" spans="1:26">
      <c r="A188" s="33"/>
      <c r="B188" s="33"/>
      <c r="C188" s="21"/>
      <c r="D188" s="21"/>
      <c r="E188" s="21"/>
      <c r="F188" s="21"/>
      <c r="G188" s="21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2.75" customHeight="1" spans="1:26">
      <c r="A189" s="33"/>
      <c r="B189" s="33"/>
      <c r="C189" s="21"/>
      <c r="D189" s="21"/>
      <c r="E189" s="21"/>
      <c r="F189" s="21"/>
      <c r="G189" s="21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2.75" customHeight="1" spans="1:26">
      <c r="A190" s="33"/>
      <c r="B190" s="33"/>
      <c r="C190" s="21"/>
      <c r="D190" s="21"/>
      <c r="E190" s="21"/>
      <c r="F190" s="21"/>
      <c r="G190" s="21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2.75" customHeight="1" spans="1:26">
      <c r="A191" s="33"/>
      <c r="B191" s="33"/>
      <c r="C191" s="21"/>
      <c r="D191" s="21"/>
      <c r="E191" s="21"/>
      <c r="F191" s="21"/>
      <c r="G191" s="21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2.75" customHeight="1" spans="1:26">
      <c r="A192" s="33"/>
      <c r="B192" s="33"/>
      <c r="C192" s="21"/>
      <c r="D192" s="21"/>
      <c r="E192" s="21"/>
      <c r="F192" s="21"/>
      <c r="G192" s="21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2.75" customHeight="1" spans="1:26">
      <c r="A193" s="33"/>
      <c r="B193" s="33"/>
      <c r="C193" s="21"/>
      <c r="D193" s="21"/>
      <c r="E193" s="21"/>
      <c r="F193" s="21"/>
      <c r="G193" s="21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2.75" customHeight="1" spans="1:26">
      <c r="A194" s="33"/>
      <c r="B194" s="33"/>
      <c r="C194" s="21"/>
      <c r="D194" s="21"/>
      <c r="E194" s="21"/>
      <c r="F194" s="21"/>
      <c r="G194" s="21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2.75" customHeight="1" spans="1:26">
      <c r="A195" s="33"/>
      <c r="B195" s="33"/>
      <c r="C195" s="21"/>
      <c r="D195" s="21"/>
      <c r="E195" s="21"/>
      <c r="F195" s="21"/>
      <c r="G195" s="21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2.75" customHeight="1" spans="1:26">
      <c r="A196" s="33"/>
      <c r="B196" s="33"/>
      <c r="C196" s="21"/>
      <c r="D196" s="21"/>
      <c r="E196" s="21"/>
      <c r="F196" s="21"/>
      <c r="G196" s="21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2.75" customHeight="1" spans="1:26">
      <c r="A197" s="33"/>
      <c r="B197" s="33"/>
      <c r="C197" s="21"/>
      <c r="D197" s="21"/>
      <c r="E197" s="21"/>
      <c r="F197" s="21"/>
      <c r="G197" s="21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2.75" customHeight="1" spans="1:26">
      <c r="A198" s="33"/>
      <c r="B198" s="33"/>
      <c r="C198" s="21"/>
      <c r="D198" s="21"/>
      <c r="E198" s="21"/>
      <c r="F198" s="21"/>
      <c r="G198" s="21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2.75" customHeight="1" spans="1:26">
      <c r="A199" s="33"/>
      <c r="B199" s="33"/>
      <c r="C199" s="21"/>
      <c r="D199" s="21"/>
      <c r="E199" s="21"/>
      <c r="F199" s="21"/>
      <c r="G199" s="21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2.75" customHeight="1" spans="1:26">
      <c r="A200" s="33"/>
      <c r="B200" s="33"/>
      <c r="C200" s="21"/>
      <c r="D200" s="21"/>
      <c r="E200" s="21"/>
      <c r="F200" s="21"/>
      <c r="G200" s="21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2.75" customHeight="1" spans="1:26">
      <c r="A201" s="33"/>
      <c r="B201" s="33"/>
      <c r="C201" s="21"/>
      <c r="D201" s="21"/>
      <c r="E201" s="21"/>
      <c r="F201" s="21"/>
      <c r="G201" s="21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2.75" customHeight="1" spans="1:26">
      <c r="A202" s="33"/>
      <c r="B202" s="33"/>
      <c r="C202" s="21"/>
      <c r="D202" s="21"/>
      <c r="E202" s="21"/>
      <c r="F202" s="21"/>
      <c r="G202" s="21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2.75" customHeight="1" spans="1:26">
      <c r="A203" s="33"/>
      <c r="B203" s="33"/>
      <c r="C203" s="21"/>
      <c r="D203" s="21"/>
      <c r="E203" s="21"/>
      <c r="F203" s="21"/>
      <c r="G203" s="21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2.75" customHeight="1" spans="1:26">
      <c r="A204" s="33"/>
      <c r="B204" s="33"/>
      <c r="C204" s="21"/>
      <c r="D204" s="21"/>
      <c r="E204" s="21"/>
      <c r="F204" s="21"/>
      <c r="G204" s="21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2.75" customHeight="1" spans="1:26">
      <c r="A205" s="33"/>
      <c r="B205" s="33"/>
      <c r="C205" s="21"/>
      <c r="D205" s="21"/>
      <c r="E205" s="21"/>
      <c r="F205" s="21"/>
      <c r="G205" s="21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2.75" customHeight="1" spans="1:26">
      <c r="A206" s="33"/>
      <c r="B206" s="33"/>
      <c r="C206" s="21"/>
      <c r="D206" s="21"/>
      <c r="E206" s="21"/>
      <c r="F206" s="21"/>
      <c r="G206" s="21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2.75" customHeight="1" spans="1:26">
      <c r="A207" s="33"/>
      <c r="B207" s="33"/>
      <c r="C207" s="21"/>
      <c r="D207" s="21"/>
      <c r="E207" s="21"/>
      <c r="F207" s="21"/>
      <c r="G207" s="21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2.75" customHeight="1" spans="1:26">
      <c r="A208" s="33"/>
      <c r="B208" s="33"/>
      <c r="C208" s="21"/>
      <c r="D208" s="21"/>
      <c r="E208" s="21"/>
      <c r="F208" s="21"/>
      <c r="G208" s="21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2.75" customHeight="1" spans="1:26">
      <c r="A209" s="33"/>
      <c r="B209" s="33"/>
      <c r="C209" s="21"/>
      <c r="D209" s="21"/>
      <c r="E209" s="21"/>
      <c r="F209" s="21"/>
      <c r="G209" s="21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2.75" customHeight="1" spans="1:26">
      <c r="A210" s="33"/>
      <c r="B210" s="33"/>
      <c r="C210" s="21"/>
      <c r="D210" s="21"/>
      <c r="E210" s="21"/>
      <c r="F210" s="21"/>
      <c r="G210" s="21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2.75" customHeight="1" spans="1:26">
      <c r="A211" s="33"/>
      <c r="B211" s="33"/>
      <c r="C211" s="21"/>
      <c r="D211" s="21"/>
      <c r="E211" s="21"/>
      <c r="F211" s="21"/>
      <c r="G211" s="21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2.75" customHeight="1" spans="1:26">
      <c r="A212" s="33"/>
      <c r="B212" s="33"/>
      <c r="C212" s="21"/>
      <c r="D212" s="21"/>
      <c r="E212" s="21"/>
      <c r="F212" s="21"/>
      <c r="G212" s="21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2.75" customHeight="1" spans="1:26">
      <c r="A213" s="33"/>
      <c r="B213" s="33"/>
      <c r="C213" s="21"/>
      <c r="D213" s="21"/>
      <c r="E213" s="21"/>
      <c r="F213" s="21"/>
      <c r="G213" s="21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2.75" customHeight="1" spans="1:26">
      <c r="A214" s="33"/>
      <c r="B214" s="33"/>
      <c r="C214" s="21"/>
      <c r="D214" s="21"/>
      <c r="E214" s="21"/>
      <c r="F214" s="21"/>
      <c r="G214" s="21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2.75" customHeight="1" spans="1:26">
      <c r="A215" s="33"/>
      <c r="B215" s="33"/>
      <c r="C215" s="21"/>
      <c r="D215" s="21"/>
      <c r="E215" s="21"/>
      <c r="F215" s="21"/>
      <c r="G215" s="21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2.75" customHeight="1" spans="1:26">
      <c r="A216" s="33"/>
      <c r="B216" s="33"/>
      <c r="C216" s="21"/>
      <c r="D216" s="21"/>
      <c r="E216" s="21"/>
      <c r="F216" s="21"/>
      <c r="G216" s="21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2.75" customHeight="1" spans="1:26">
      <c r="A217" s="33"/>
      <c r="B217" s="33"/>
      <c r="C217" s="21"/>
      <c r="D217" s="21"/>
      <c r="E217" s="21"/>
      <c r="F217" s="21"/>
      <c r="G217" s="21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2.75" customHeight="1" spans="1:26">
      <c r="A218" s="33"/>
      <c r="B218" s="33"/>
      <c r="C218" s="21"/>
      <c r="D218" s="21"/>
      <c r="E218" s="21"/>
      <c r="F218" s="21"/>
      <c r="G218" s="21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2.75" customHeight="1" spans="1:26">
      <c r="A219" s="33"/>
      <c r="B219" s="33"/>
      <c r="C219" s="21"/>
      <c r="D219" s="21"/>
      <c r="E219" s="21"/>
      <c r="F219" s="21"/>
      <c r="G219" s="21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2.75" customHeight="1" spans="1:26">
      <c r="A220" s="33"/>
      <c r="B220" s="33"/>
      <c r="C220" s="21"/>
      <c r="D220" s="21"/>
      <c r="E220" s="21"/>
      <c r="F220" s="21"/>
      <c r="G220" s="21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2.75" customHeight="1" spans="1:26">
      <c r="A221" s="33"/>
      <c r="B221" s="33"/>
      <c r="C221" s="21"/>
      <c r="D221" s="21"/>
      <c r="E221" s="21"/>
      <c r="F221" s="21"/>
      <c r="G221" s="21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2.75" customHeight="1" spans="1:26">
      <c r="A222" s="33"/>
      <c r="B222" s="33"/>
      <c r="C222" s="21"/>
      <c r="D222" s="21"/>
      <c r="E222" s="21"/>
      <c r="F222" s="21"/>
      <c r="G222" s="21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2.75" customHeight="1" spans="1:26">
      <c r="A223" s="33"/>
      <c r="B223" s="33"/>
      <c r="C223" s="21"/>
      <c r="D223" s="21"/>
      <c r="E223" s="21"/>
      <c r="F223" s="21"/>
      <c r="G223" s="21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2.75" customHeight="1" spans="1:26">
      <c r="A224" s="33"/>
      <c r="B224" s="33"/>
      <c r="C224" s="21"/>
      <c r="D224" s="21"/>
      <c r="E224" s="21"/>
      <c r="F224" s="21"/>
      <c r="G224" s="21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2.75" customHeight="1" spans="1:26">
      <c r="A225" s="33"/>
      <c r="B225" s="33"/>
      <c r="C225" s="21"/>
      <c r="D225" s="21"/>
      <c r="E225" s="21"/>
      <c r="F225" s="21"/>
      <c r="G225" s="21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2.75" customHeight="1" spans="1:26">
      <c r="A226" s="33"/>
      <c r="B226" s="33"/>
      <c r="C226" s="21"/>
      <c r="D226" s="21"/>
      <c r="E226" s="21"/>
      <c r="F226" s="21"/>
      <c r="G226" s="21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2.75" customHeight="1" spans="1:26">
      <c r="A227" s="33"/>
      <c r="B227" s="33"/>
      <c r="C227" s="21"/>
      <c r="D227" s="21"/>
      <c r="E227" s="21"/>
      <c r="F227" s="21"/>
      <c r="G227" s="21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2.75" customHeight="1" spans="1:26">
      <c r="A228" s="33"/>
      <c r="B228" s="33"/>
      <c r="C228" s="21"/>
      <c r="D228" s="21"/>
      <c r="E228" s="21"/>
      <c r="F228" s="21"/>
      <c r="G228" s="21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2.75" customHeight="1" spans="1:26">
      <c r="A229" s="33"/>
      <c r="B229" s="33"/>
      <c r="C229" s="21"/>
      <c r="D229" s="21"/>
      <c r="E229" s="21"/>
      <c r="F229" s="21"/>
      <c r="G229" s="21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2.75" customHeight="1" spans="1:26">
      <c r="A230" s="33"/>
      <c r="B230" s="33"/>
      <c r="C230" s="21"/>
      <c r="D230" s="21"/>
      <c r="E230" s="21"/>
      <c r="F230" s="21"/>
      <c r="G230" s="21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2.75" customHeight="1" spans="1:26">
      <c r="A231" s="33"/>
      <c r="B231" s="33"/>
      <c r="C231" s="21"/>
      <c r="D231" s="21"/>
      <c r="E231" s="21"/>
      <c r="F231" s="21"/>
      <c r="G231" s="21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9:C19"/>
    <mergeCell ref="D19:F19"/>
    <mergeCell ref="G19:H19"/>
    <mergeCell ref="B20:C20"/>
    <mergeCell ref="D20:F20"/>
    <mergeCell ref="G20:H20"/>
    <mergeCell ref="C25:F25"/>
    <mergeCell ref="G25:H25"/>
    <mergeCell ref="C26:F26"/>
    <mergeCell ref="G26:H26"/>
    <mergeCell ref="C27:F27"/>
    <mergeCell ref="G27:H27"/>
    <mergeCell ref="C28:F28"/>
    <mergeCell ref="G28:H28"/>
    <mergeCell ref="C29:F29"/>
    <mergeCell ref="G29:H29"/>
    <mergeCell ref="C30:F30"/>
    <mergeCell ref="G30:H30"/>
    <mergeCell ref="C31:F31"/>
    <mergeCell ref="G31:H31"/>
    <mergeCell ref="C10:C11"/>
    <mergeCell ref="D10:D11"/>
    <mergeCell ref="E10:E11"/>
    <mergeCell ref="F10:F11"/>
    <mergeCell ref="G10:G11"/>
    <mergeCell ref="H10:H11"/>
  </mergeCells>
  <pageMargins left="0.7" right="0.7" top="0.75" bottom="0.75" header="0" footer="0"/>
  <pageSetup paperSize="1" orientation="landscape"/>
  <headerFooter>
    <oddFooter>&amp;LFsoft-HCM-G36TP&amp;CInternal use 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topLeftCell="A11" workbookViewId="0">
      <selection activeCell="B16" sqref="B16"/>
    </sheetView>
  </sheetViews>
  <sheetFormatPr defaultColWidth="14.4285714285714" defaultRowHeight="15" customHeight="1"/>
  <cols>
    <col min="1" max="1" width="5.14285714285714" customWidth="1"/>
    <col min="2" max="2" width="34" customWidth="1"/>
    <col min="3" max="3" width="20.1428571428571" customWidth="1"/>
    <col min="4" max="5" width="12.4285714285714" customWidth="1"/>
    <col min="6" max="6" width="9.14285714285714" customWidth="1"/>
    <col min="7" max="11" width="8" customWidth="1"/>
    <col min="12" max="12" width="48.8571428571429" customWidth="1"/>
    <col min="13" max="13" width="12.1428571428571" customWidth="1"/>
    <col min="14" max="24" width="8" customWidth="1"/>
  </cols>
  <sheetData>
    <row r="1" ht="12.75" customHeight="1" spans="1:24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ht="30" customHeight="1" spans="1:24">
      <c r="A2" s="33"/>
      <c r="B2" s="33"/>
      <c r="C2" s="54" t="s">
        <v>34</v>
      </c>
      <c r="D2" s="54"/>
      <c r="E2" s="54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ht="12.75" customHeight="1" spans="1:24">
      <c r="A3" s="55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ht="12.75" customHeight="1" spans="1:24">
      <c r="A4" s="5" t="s">
        <v>161</v>
      </c>
      <c r="B4" s="33"/>
      <c r="C4" s="33"/>
      <c r="D4" s="56"/>
      <c r="E4" s="56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ht="12.75" customHeight="1" spans="1:24">
      <c r="A5" s="44" t="s">
        <v>162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ht="12.75" customHeight="1" spans="1:24">
      <c r="A6" s="57" t="s">
        <v>45</v>
      </c>
      <c r="B6" s="58" t="s">
        <v>163</v>
      </c>
      <c r="C6" s="59" t="s">
        <v>164</v>
      </c>
      <c r="D6" s="60" t="s">
        <v>165</v>
      </c>
      <c r="E6" s="61"/>
      <c r="F6" s="61"/>
      <c r="G6" s="61"/>
      <c r="H6" s="61"/>
      <c r="I6" s="61"/>
      <c r="J6" s="81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ht="13.2" spans="1:24">
      <c r="A7" s="62">
        <f t="shared" ref="A7:A16" si="0">ROW()-6</f>
        <v>1</v>
      </c>
      <c r="B7" s="63" t="s">
        <v>10</v>
      </c>
      <c r="C7" s="64" t="s">
        <v>166</v>
      </c>
      <c r="D7" s="65" t="s">
        <v>167</v>
      </c>
      <c r="J7" s="3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ht="13.2" spans="1:24">
      <c r="A8" s="62">
        <f t="shared" si="0"/>
        <v>2</v>
      </c>
      <c r="B8" s="66" t="s">
        <v>168</v>
      </c>
      <c r="C8" s="67" t="s">
        <v>169</v>
      </c>
      <c r="D8" s="68" t="s">
        <v>170</v>
      </c>
      <c r="J8" s="3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ht="13.2" spans="1:24">
      <c r="A9" s="62">
        <f t="shared" si="0"/>
        <v>3</v>
      </c>
      <c r="B9" s="20" t="s">
        <v>10</v>
      </c>
      <c r="C9" s="67" t="s">
        <v>169</v>
      </c>
      <c r="D9" s="68" t="s">
        <v>171</v>
      </c>
      <c r="J9" s="32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ht="26.4" spans="1:24">
      <c r="A10" s="62">
        <f t="shared" si="0"/>
        <v>4</v>
      </c>
      <c r="B10" s="20" t="s">
        <v>172</v>
      </c>
      <c r="C10" s="67" t="s">
        <v>169</v>
      </c>
      <c r="D10" s="68" t="s">
        <v>173</v>
      </c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ht="26.4" spans="1:24">
      <c r="A11" s="62">
        <f t="shared" si="0"/>
        <v>5</v>
      </c>
      <c r="B11" s="69" t="s">
        <v>174</v>
      </c>
      <c r="C11" s="67" t="s">
        <v>169</v>
      </c>
      <c r="D11" s="68" t="s">
        <v>175</v>
      </c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ht="13.2" spans="1:24">
      <c r="A12" s="62">
        <f t="shared" si="0"/>
        <v>6</v>
      </c>
      <c r="B12" s="20" t="s">
        <v>176</v>
      </c>
      <c r="C12" s="67" t="s">
        <v>166</v>
      </c>
      <c r="D12" s="68" t="s">
        <v>177</v>
      </c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ht="13.2" spans="1:24">
      <c r="A13" s="62">
        <f t="shared" si="0"/>
        <v>7</v>
      </c>
      <c r="B13" s="69" t="s">
        <v>178</v>
      </c>
      <c r="C13" s="67" t="s">
        <v>169</v>
      </c>
      <c r="D13" s="68" t="s">
        <v>179</v>
      </c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ht="13.2" spans="1:24">
      <c r="A14" s="62">
        <f t="shared" si="0"/>
        <v>8</v>
      </c>
      <c r="B14" s="69" t="s">
        <v>180</v>
      </c>
      <c r="C14" s="67" t="s">
        <v>169</v>
      </c>
      <c r="D14" s="68" t="s">
        <v>181</v>
      </c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ht="13.2" spans="1:24">
      <c r="A15" s="62">
        <f t="shared" si="0"/>
        <v>9</v>
      </c>
      <c r="B15" s="69" t="s">
        <v>182</v>
      </c>
      <c r="C15" s="70" t="s">
        <v>169</v>
      </c>
      <c r="D15" s="68" t="s">
        <v>183</v>
      </c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ht="13.2" spans="1:24">
      <c r="A16" s="71">
        <f t="shared" si="0"/>
        <v>10</v>
      </c>
      <c r="B16" s="72" t="s">
        <v>182</v>
      </c>
      <c r="C16" s="73" t="s">
        <v>169</v>
      </c>
      <c r="D16" s="74" t="s">
        <v>184</v>
      </c>
      <c r="E16" s="75"/>
      <c r="F16" s="75"/>
      <c r="G16" s="75"/>
      <c r="H16" s="75"/>
      <c r="I16" s="75"/>
      <c r="J16" s="100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ht="12.75" customHeight="1" spans="1:24">
      <c r="A17" s="76"/>
      <c r="B17" s="77"/>
      <c r="C17" s="78"/>
      <c r="D17" s="79"/>
      <c r="E17" s="79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ht="12.75" customHeight="1" spans="1:24">
      <c r="A18" s="5" t="s">
        <v>34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ht="12.75" customHeight="1" spans="1:24">
      <c r="A19" s="44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ht="12.75" customHeight="1" spans="1:24">
      <c r="A20" s="80" t="s">
        <v>45</v>
      </c>
      <c r="B20" s="80" t="s">
        <v>185</v>
      </c>
      <c r="C20" s="25" t="s">
        <v>123</v>
      </c>
      <c r="D20" s="60" t="s">
        <v>124</v>
      </c>
      <c r="E20" s="81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ht="12" customHeight="1" spans="1:24">
      <c r="A21" s="82">
        <v>1</v>
      </c>
      <c r="B21" s="83" t="s">
        <v>72</v>
      </c>
      <c r="C21" s="84">
        <v>45635</v>
      </c>
      <c r="D21" s="85">
        <v>45639</v>
      </c>
      <c r="E21" s="86"/>
      <c r="F21" s="33"/>
      <c r="G21" s="33"/>
      <c r="H21" s="33"/>
      <c r="I21" s="33"/>
      <c r="J21" s="33"/>
      <c r="K21" s="33"/>
      <c r="L21" s="101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ht="12.75" customHeight="1" spans="1:24">
      <c r="A22" s="87">
        <v>2</v>
      </c>
      <c r="B22" s="88" t="s">
        <v>74</v>
      </c>
      <c r="C22" s="84">
        <v>45636</v>
      </c>
      <c r="D22" s="85">
        <v>45640</v>
      </c>
      <c r="E22" s="86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ht="12.75" customHeight="1" spans="1:24">
      <c r="A23" s="87">
        <v>3</v>
      </c>
      <c r="B23" s="88" t="s">
        <v>186</v>
      </c>
      <c r="C23" s="84">
        <v>45637</v>
      </c>
      <c r="D23" s="85">
        <v>45641</v>
      </c>
      <c r="E23" s="86"/>
      <c r="F23" s="33"/>
      <c r="G23" s="33"/>
      <c r="H23" s="33"/>
      <c r="I23" s="33"/>
      <c r="J23" s="33"/>
      <c r="K23" s="33"/>
      <c r="L23" s="101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ht="12.75" customHeight="1" spans="1:24">
      <c r="A24" s="89">
        <v>4</v>
      </c>
      <c r="B24" s="90" t="s">
        <v>187</v>
      </c>
      <c r="C24" s="84">
        <v>45638</v>
      </c>
      <c r="D24" s="85">
        <v>45642</v>
      </c>
      <c r="E24" s="86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ht="12.75" customHeight="1" spans="1:24">
      <c r="A25" s="91">
        <v>5</v>
      </c>
      <c r="B25" s="92" t="s">
        <v>188</v>
      </c>
      <c r="C25" s="84">
        <v>45639</v>
      </c>
      <c r="D25" s="85">
        <v>45643</v>
      </c>
      <c r="E25" s="86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ht="12.75" customHeight="1" spans="1:24">
      <c r="A26" s="93">
        <v>6</v>
      </c>
      <c r="B26" s="94" t="s">
        <v>189</v>
      </c>
      <c r="C26" s="84">
        <v>45640</v>
      </c>
      <c r="D26" s="85">
        <v>45644</v>
      </c>
      <c r="E26" s="86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ht="12.75" customHeight="1" spans="1:24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ht="12.75" customHeight="1" spans="1:24">
      <c r="A28" s="95"/>
      <c r="B28" s="80" t="s">
        <v>190</v>
      </c>
      <c r="C28" s="96" t="s">
        <v>191</v>
      </c>
      <c r="D28" s="25" t="s">
        <v>192</v>
      </c>
      <c r="E28" s="97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ht="12.75" customHeight="1" spans="1:24">
      <c r="A29" s="33"/>
      <c r="B29" s="36" t="s">
        <v>72</v>
      </c>
      <c r="C29" s="48">
        <f>INT(C21)-INT($C$21)</f>
        <v>0</v>
      </c>
      <c r="D29" s="48">
        <f t="shared" ref="D29:D33" si="1">(INT(D21)-INT($C$21))-(INT(C21)-INT($C$21))</f>
        <v>4</v>
      </c>
      <c r="E29" s="33"/>
      <c r="F29" s="33"/>
      <c r="G29" s="33"/>
      <c r="H29" s="33"/>
      <c r="I29" s="33"/>
      <c r="J29" s="33"/>
      <c r="K29" s="33"/>
      <c r="L29" s="33"/>
      <c r="M29" s="102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ht="12.75" customHeight="1" spans="1:24">
      <c r="A30" s="33"/>
      <c r="B30" s="36" t="s">
        <v>74</v>
      </c>
      <c r="C30" s="48">
        <f>INT(C22)-INT($C$21)-1</f>
        <v>0</v>
      </c>
      <c r="D30" s="48">
        <f t="shared" si="1"/>
        <v>4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ht="12.75" customHeight="1" spans="1:24">
      <c r="A31" s="33"/>
      <c r="B31" s="36" t="s">
        <v>186</v>
      </c>
      <c r="C31" s="48">
        <f>INT(C23)-INT($C$21)-2</f>
        <v>0</v>
      </c>
      <c r="D31" s="48">
        <f t="shared" si="1"/>
        <v>4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ht="12.75" customHeight="1" spans="1:24">
      <c r="A32" s="33"/>
      <c r="B32" s="36" t="s">
        <v>187</v>
      </c>
      <c r="C32" s="48">
        <f>INT(C24)-INT($C$21)-3</f>
        <v>0</v>
      </c>
      <c r="D32" s="48">
        <f t="shared" si="1"/>
        <v>4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ht="12.75" customHeight="1" spans="1:24">
      <c r="A33" s="33"/>
      <c r="B33" s="36" t="s">
        <v>188</v>
      </c>
      <c r="C33" s="48">
        <f>INT(C25)-INT($C$21)-4</f>
        <v>0</v>
      </c>
      <c r="D33" s="48">
        <f t="shared" si="1"/>
        <v>4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ht="12.75" customHeight="1" spans="1:24">
      <c r="A34" s="33"/>
      <c r="B34" s="36" t="s">
        <v>189</v>
      </c>
      <c r="C34" s="48">
        <f>INT(C26)-INT($C$21)-5</f>
        <v>0</v>
      </c>
      <c r="D34" s="48">
        <f>(INT(D26)-INT($C$21))-(INT(C26)-INT($C$21))+1</f>
        <v>5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ht="12.75" customHeight="1" spans="1:24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customHeight="1" spans="1:24">
      <c r="A36" s="5" t="s">
        <v>193</v>
      </c>
      <c r="B36" s="5"/>
      <c r="C36" s="33"/>
      <c r="D36" s="33"/>
      <c r="E36" s="33"/>
      <c r="F36" s="44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ht="12.75" customHeight="1" spans="1:24">
      <c r="A37" s="33"/>
      <c r="B37" s="98" t="s">
        <v>194</v>
      </c>
      <c r="C37" s="33"/>
      <c r="D37" s="99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ht="12.75" customHeight="1" spans="1:24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ht="12.75" customHeight="1" spans="1:24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ht="12.75" customHeight="1" spans="1:24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ht="12.75" customHeight="1" spans="1:24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ht="12.75" customHeight="1" spans="1:24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ht="12.75" customHeight="1" spans="1:24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ht="12.75" customHeight="1" spans="1:2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ht="12.75" customHeight="1" spans="1:24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ht="12.75" customHeight="1" spans="1:24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ht="12.75" customHeight="1" spans="1:24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ht="12.75" customHeight="1" spans="1:24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ht="12.75" customHeight="1" spans="1:24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ht="12.75" customHeight="1" spans="1:24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ht="12.75" customHeight="1" spans="1:24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ht="12.75" customHeight="1" spans="1:24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ht="12.75" customHeight="1" spans="1:24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ht="12.75" customHeight="1" spans="1:2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ht="12.75" customHeight="1" spans="1:24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ht="12.75" customHeight="1" spans="1:24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ht="12.75" customHeight="1" spans="1:24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ht="12.75" customHeight="1" spans="1:24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ht="12.75" customHeight="1" spans="1:24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ht="12.75" customHeight="1" spans="1:24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ht="12.75" customHeight="1" spans="1:24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ht="12.75" customHeight="1" spans="1:24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ht="12.75" customHeight="1" spans="1:24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ht="12.75" customHeight="1" spans="1:2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ht="12.75" customHeight="1" spans="1:24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ht="12.75" customHeight="1" spans="1:24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ht="12.75" customHeight="1" spans="1:24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ht="12.75" customHeight="1" spans="1:24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ht="12.75" customHeight="1" spans="1:24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ht="12.75" customHeight="1" spans="1:24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ht="12.75" customHeight="1" spans="1:24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ht="12.75" customHeight="1" spans="1:24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ht="12.75" customHeight="1" spans="1:24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ht="12.75" customHeight="1" spans="1:2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ht="12.75" customHeight="1" spans="1:24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ht="12.75" customHeight="1" spans="1:24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ht="12.75" customHeight="1" spans="1:24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ht="12.75" customHeight="1" spans="1:24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ht="12.75" customHeight="1" spans="1:24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ht="12.75" customHeight="1" spans="1:24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ht="12.75" customHeight="1" spans="1:24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ht="12.75" customHeight="1" spans="1:24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ht="12.75" customHeight="1" spans="1:24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ht="12.75" customHeight="1" spans="1:2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ht="12.75" customHeight="1" spans="1:24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ht="12.75" customHeight="1" spans="1:24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ht="12.75" customHeight="1" spans="1:24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ht="12.75" customHeight="1" spans="1:24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ht="12.75" customHeight="1" spans="1:24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ht="12.75" customHeight="1" spans="1:24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ht="12.75" customHeight="1" spans="1:24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ht="12.75" customHeight="1" spans="1:24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ht="12.75" customHeight="1" spans="1:24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ht="12.75" customHeight="1" spans="1:2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ht="12.75" customHeight="1" spans="1:24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ht="12.75" customHeight="1" spans="1:24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ht="12.75" customHeight="1" spans="1:24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ht="12.75" customHeight="1" spans="1:24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ht="12.75" customHeight="1" spans="1:24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ht="12.75" customHeight="1" spans="1:24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ht="12.75" customHeight="1" spans="1:24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ht="12.75" customHeight="1" spans="1:24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ht="12.75" customHeight="1" spans="1:24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ht="12.75" customHeight="1" spans="1:2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ht="12.75" customHeight="1" spans="1:24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ht="12.75" customHeight="1" spans="1:24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ht="12.75" customHeight="1" spans="1:24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ht="12.75" customHeight="1" spans="1:24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ht="12.75" customHeight="1" spans="1:24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ht="12.75" customHeight="1" spans="1:24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ht="12.75" customHeight="1" spans="1:24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ht="12.75" customHeight="1" spans="1:24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ht="12.75" customHeight="1" spans="1:24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ht="12.75" customHeight="1" spans="1:2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ht="12.75" customHeight="1" spans="1:24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ht="12.75" customHeight="1" spans="1:24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ht="12.75" customHeight="1" spans="1:24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ht="12.75" customHeight="1" spans="1:24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ht="12.75" customHeight="1" spans="1:24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ht="12.75" customHeight="1" spans="1:24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ht="12.75" customHeight="1" spans="1:24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ht="12.75" customHeight="1" spans="1:24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ht="12.75" customHeight="1" spans="1:24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ht="12.75" customHeight="1" spans="1: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ht="12.75" customHeight="1" spans="1:24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ht="12.75" customHeight="1" spans="1:24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ht="12.75" customHeight="1" spans="1:24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ht="12.75" customHeight="1" spans="1:24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ht="12.75" customHeight="1" spans="1:24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ht="12.75" customHeight="1" spans="1:24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ht="12.75" customHeight="1" spans="1:24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ht="12.75" customHeight="1" spans="1:24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ht="12.75" customHeight="1" spans="1:24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ht="12.75" customHeight="1" spans="1:2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ht="12.75" customHeight="1" spans="1:24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ht="12.75" customHeight="1" spans="1:24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ht="12.75" customHeight="1" spans="1:24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ht="12.75" customHeight="1" spans="1:24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ht="12.75" customHeight="1" spans="1:24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ht="12.75" customHeight="1" spans="1:24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ht="12.75" customHeight="1" spans="1:24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ht="12.75" customHeight="1" spans="1:24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ht="12.75" customHeight="1" spans="1:24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ht="12.75" customHeight="1" spans="1:2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ht="12.75" customHeight="1" spans="1:24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ht="12.75" customHeight="1" spans="1:24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ht="12.75" customHeight="1" spans="1:24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ht="12.75" customHeight="1" spans="1:24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ht="12.75" customHeight="1" spans="1:24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ht="12.75" customHeight="1" spans="1:24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ht="12.75" customHeight="1" spans="1:24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ht="12.75" customHeight="1" spans="1:24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ht="12.75" customHeight="1" spans="1:24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ht="12.75" customHeight="1" spans="1:2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ht="12.75" customHeight="1" spans="1:24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ht="12.75" customHeight="1" spans="1:24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ht="12.75" customHeight="1" spans="1:24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ht="12.75" customHeight="1" spans="1:24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ht="12.75" customHeight="1" spans="1:24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ht="12.75" customHeight="1" spans="1:24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ht="12.75" customHeight="1" spans="1:24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ht="12.75" customHeight="1" spans="1:24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ht="12.75" customHeight="1" spans="1:24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ht="12.75" customHeight="1" spans="1:2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ht="12.75" customHeight="1" spans="1:24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ht="12.75" customHeight="1" spans="1:24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ht="12.75" customHeight="1" spans="1:24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ht="12.75" customHeight="1" spans="1:24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ht="12.75" customHeight="1" spans="1:24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ht="12.75" customHeight="1" spans="1:24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ht="12.75" customHeight="1" spans="1:24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ht="12.75" customHeight="1" spans="1:24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ht="12.75" customHeight="1" spans="1:24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ht="12.75" customHeight="1" spans="1:2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ht="12.75" customHeight="1" spans="1:24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ht="12.75" customHeight="1" spans="1:24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ht="12.75" customHeight="1" spans="1:24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ht="12.75" customHeight="1" spans="1:24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ht="12.75" customHeight="1" spans="1:24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ht="12.75" customHeight="1" spans="1:24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ht="12.75" customHeight="1" spans="1:24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ht="12.75" customHeight="1" spans="1:24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ht="12.75" customHeight="1" spans="1:24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ht="12.75" customHeight="1" spans="1:2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ht="12.75" customHeight="1" spans="1:24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ht="12.75" customHeight="1" spans="1:24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ht="12.75" customHeight="1" spans="1:24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ht="12.75" customHeight="1" spans="1:24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ht="12.75" customHeight="1" spans="1:24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ht="12.75" customHeight="1" spans="1:24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ht="12.75" customHeight="1" spans="1:24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ht="12.75" customHeight="1" spans="1:24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ht="12.75" customHeight="1" spans="1:24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ht="12.75" customHeight="1" spans="1:2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ht="12.75" customHeight="1" spans="1:24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ht="12.75" customHeight="1" spans="1:24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ht="12.75" customHeight="1" spans="1:24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ht="12.75" customHeight="1" spans="1:24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ht="12.75" customHeight="1" spans="1:24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ht="12.75" customHeight="1" spans="1:24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ht="12.75" customHeight="1" spans="1:24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ht="12.75" customHeight="1" spans="1:24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ht="12.75" customHeight="1" spans="1:24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ht="12.75" customHeight="1" spans="1:2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ht="12.75" customHeight="1" spans="1:24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ht="12.75" customHeight="1" spans="1:24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ht="12.75" customHeight="1" spans="1:24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ht="12.75" customHeight="1" spans="1:24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ht="12.75" customHeight="1" spans="1:24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ht="12.75" customHeight="1" spans="1:24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ht="12.75" customHeight="1" spans="1:24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ht="12.75" customHeight="1" spans="1:24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ht="12.75" customHeight="1" spans="1:24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ht="12.75" customHeight="1" spans="1:2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ht="12.75" customHeight="1" spans="1:24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ht="12.75" customHeight="1" spans="1:24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ht="12.75" customHeight="1" spans="1:24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ht="12.75" customHeight="1" spans="1:24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ht="12.75" customHeight="1" spans="1:24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ht="12.75" customHeight="1" spans="1:24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ht="12.75" customHeight="1" spans="1:24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ht="12.75" customHeight="1" spans="1:24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ht="12.75" customHeight="1" spans="1:24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ht="12.75" customHeight="1" spans="1: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ht="12.75" customHeight="1" spans="1:24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ht="12.75" customHeight="1" spans="1:24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ht="12.75" customHeight="1" spans="1:24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ht="12.75" customHeight="1" spans="1:24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ht="12.75" customHeight="1" spans="1:24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ht="12.75" customHeight="1" spans="1:24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ht="12.75" customHeight="1" spans="1:24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ht="12.75" customHeight="1" spans="1:24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ht="12.75" customHeight="1" spans="1:24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ht="12.75" customHeight="1" spans="1:2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ht="12.75" customHeight="1" spans="1:24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ht="12.75" customHeight="1" spans="1:24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ht="12.75" customHeight="1" spans="1:24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6:J6"/>
    <mergeCell ref="D7:J7"/>
    <mergeCell ref="D8:J8"/>
    <mergeCell ref="D9:J9"/>
    <mergeCell ref="D10:J10"/>
    <mergeCell ref="D11:J11"/>
    <mergeCell ref="D12:J12"/>
    <mergeCell ref="D13:J13"/>
    <mergeCell ref="D14:J14"/>
    <mergeCell ref="D15:J15"/>
    <mergeCell ref="D16:J16"/>
    <mergeCell ref="D20:E20"/>
    <mergeCell ref="D21:E21"/>
    <mergeCell ref="D22:E22"/>
    <mergeCell ref="D23:E23"/>
    <mergeCell ref="D24:E24"/>
    <mergeCell ref="D25:E25"/>
    <mergeCell ref="D26:E26"/>
  </mergeCells>
  <hyperlinks>
    <hyperlink ref="B37" location="Detail Schedule!A1" display="Liên kết"/>
  </hyperlinks>
  <pageMargins left="0.7" right="0.7" top="0.75" bottom="0.75" header="0" footer="0"/>
  <pageSetup paperSize="1"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00"/>
  <sheetViews>
    <sheetView workbookViewId="0">
      <pane xSplit="3" ySplit="2" topLeftCell="D15" activePane="bottomRight" state="frozen"/>
      <selection/>
      <selection pane="topRight"/>
      <selection pane="bottomLeft"/>
      <selection pane="bottomRight" activeCell="C29" sqref="C29"/>
    </sheetView>
  </sheetViews>
  <sheetFormatPr defaultColWidth="14.4285714285714" defaultRowHeight="15" customHeight="1"/>
  <cols>
    <col min="1" max="1" width="8.57142857142857" customWidth="1"/>
    <col min="2" max="2" width="41.8571428571429" customWidth="1"/>
    <col min="3" max="3" width="21.8571428571429" customWidth="1"/>
    <col min="4" max="4" width="2.85714285714286" customWidth="1"/>
    <col min="5" max="5" width="3.14285714285714" customWidth="1"/>
    <col min="6" max="6" width="3" customWidth="1"/>
    <col min="7" max="13" width="3.14285714285714" customWidth="1"/>
    <col min="14" max="14" width="3.57142857142857" customWidth="1"/>
    <col min="15" max="17" width="3.14285714285714" customWidth="1"/>
    <col min="18" max="18" width="3.57142857142857" customWidth="1"/>
    <col min="19" max="22" width="3.14285714285714" customWidth="1"/>
    <col min="23" max="23" width="3.85714285714286" customWidth="1"/>
    <col min="24" max="26" width="3.14285714285714" customWidth="1"/>
  </cols>
  <sheetData>
    <row r="1" ht="12.75" customHeight="1" spans="1:29">
      <c r="A1" s="25" t="s">
        <v>45</v>
      </c>
      <c r="B1" s="26" t="s">
        <v>185</v>
      </c>
      <c r="C1" s="27" t="s">
        <v>165</v>
      </c>
      <c r="D1" s="28" t="s">
        <v>195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52"/>
      <c r="AB1" s="33"/>
      <c r="AC1" s="33"/>
    </row>
    <row r="2" ht="12" customHeight="1" spans="1:29">
      <c r="A2" s="30"/>
      <c r="B2" s="31"/>
      <c r="C2" s="32"/>
      <c r="D2" s="33">
        <v>9</v>
      </c>
      <c r="E2" s="33">
        <v>10</v>
      </c>
      <c r="F2" s="33">
        <v>11</v>
      </c>
      <c r="G2" s="33">
        <v>12</v>
      </c>
      <c r="H2" s="33">
        <v>13</v>
      </c>
      <c r="I2" s="33">
        <v>14</v>
      </c>
      <c r="J2" s="33">
        <v>15</v>
      </c>
      <c r="K2" s="33">
        <v>16</v>
      </c>
      <c r="L2" s="33">
        <v>17</v>
      </c>
      <c r="M2" s="33">
        <v>18</v>
      </c>
      <c r="N2" s="33">
        <v>19</v>
      </c>
      <c r="O2" s="33">
        <v>20</v>
      </c>
      <c r="P2" s="33">
        <v>21</v>
      </c>
      <c r="Q2" s="33">
        <v>22</v>
      </c>
      <c r="R2" s="33">
        <v>23</v>
      </c>
      <c r="S2" s="33">
        <v>24</v>
      </c>
      <c r="T2" s="33">
        <v>25</v>
      </c>
      <c r="U2" s="33">
        <v>26</v>
      </c>
      <c r="V2" s="33">
        <v>27</v>
      </c>
      <c r="W2" s="33">
        <v>28</v>
      </c>
      <c r="X2" s="33">
        <v>29</v>
      </c>
      <c r="Y2" s="33">
        <v>30</v>
      </c>
      <c r="Z2" s="33">
        <v>31</v>
      </c>
      <c r="AB2" s="33"/>
      <c r="AC2" s="33"/>
    </row>
    <row r="3" ht="14.25" customHeight="1" spans="1:29">
      <c r="A3" s="34">
        <v>1</v>
      </c>
      <c r="B3" s="35" t="s">
        <v>72</v>
      </c>
      <c r="C3" s="36" t="s">
        <v>196</v>
      </c>
      <c r="D3" s="37"/>
      <c r="E3" s="38"/>
      <c r="F3" s="38"/>
      <c r="G3" s="38"/>
      <c r="H3" s="38"/>
      <c r="I3" s="33"/>
      <c r="J3" s="33"/>
      <c r="K3" s="33"/>
      <c r="L3" s="33"/>
      <c r="M3" s="33"/>
      <c r="N3" s="33"/>
      <c r="O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 ht="12.75" customHeight="1" spans="1:29">
      <c r="A4" s="34">
        <v>2</v>
      </c>
      <c r="B4" s="35" t="s">
        <v>74</v>
      </c>
      <c r="C4" s="39"/>
      <c r="D4" s="33"/>
      <c r="E4" s="33"/>
      <c r="F4" s="33"/>
      <c r="G4" s="33"/>
      <c r="H4" s="33"/>
      <c r="I4" s="37"/>
      <c r="J4" s="38"/>
      <c r="K4" s="33"/>
      <c r="L4" s="33"/>
      <c r="M4" s="33"/>
      <c r="N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 ht="12.75" customHeight="1" outlineLevel="1" spans="1:29">
      <c r="A5" s="40">
        <v>43467</v>
      </c>
      <c r="B5" s="41" t="s">
        <v>197</v>
      </c>
      <c r="C5" s="36" t="str">
        <f>Appendix!C48</f>
        <v>Trần Hoài Nam</v>
      </c>
      <c r="D5" s="33"/>
      <c r="E5" s="33"/>
      <c r="F5" s="33"/>
      <c r="G5" s="33"/>
      <c r="H5" s="33"/>
      <c r="I5" s="51"/>
      <c r="J5" s="33"/>
      <c r="K5" s="33"/>
      <c r="L5" s="33"/>
      <c r="M5" s="33"/>
      <c r="N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ht="12.75" customHeight="1" outlineLevel="1" spans="1:29">
      <c r="A6" s="40">
        <v>43498</v>
      </c>
      <c r="B6" s="41" t="s">
        <v>198</v>
      </c>
      <c r="C6" s="36" t="s">
        <v>199</v>
      </c>
      <c r="D6" s="33"/>
      <c r="E6" s="33"/>
      <c r="F6" s="33"/>
      <c r="G6" s="33"/>
      <c r="H6" s="33"/>
      <c r="I6" s="51"/>
      <c r="J6" s="33"/>
      <c r="K6" s="33"/>
      <c r="L6" s="33"/>
      <c r="M6" s="33"/>
      <c r="N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 ht="12.75" customHeight="1" outlineLevel="1" spans="1:29">
      <c r="A7" s="40">
        <v>43526</v>
      </c>
      <c r="B7" s="41" t="s">
        <v>200</v>
      </c>
      <c r="C7" s="36" t="str">
        <f>Appendix!C49</f>
        <v>Nguyễn Thị Hoài Thu</v>
      </c>
      <c r="D7" s="33"/>
      <c r="E7" s="33"/>
      <c r="F7" s="33"/>
      <c r="G7" s="33"/>
      <c r="H7" s="33"/>
      <c r="I7" s="51"/>
      <c r="J7" s="33"/>
      <c r="K7" s="33"/>
      <c r="L7" s="33"/>
      <c r="M7" s="33"/>
      <c r="N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 ht="12.75" customHeight="1" outlineLevel="1" spans="1:29">
      <c r="A8" s="40">
        <v>43557</v>
      </c>
      <c r="B8" s="41" t="s">
        <v>201</v>
      </c>
      <c r="C8" s="36" t="s">
        <v>202</v>
      </c>
      <c r="D8" s="42"/>
      <c r="E8" s="42"/>
      <c r="F8" s="42"/>
      <c r="G8" s="42"/>
      <c r="H8" s="42"/>
      <c r="I8" s="51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ht="12.75" customHeight="1" outlineLevel="1" spans="1:29">
      <c r="A9" s="40">
        <v>43587</v>
      </c>
      <c r="B9" s="41" t="s">
        <v>203</v>
      </c>
      <c r="C9" s="43" t="s">
        <v>204</v>
      </c>
      <c r="D9" s="33"/>
      <c r="E9" s="33"/>
      <c r="F9" s="44"/>
      <c r="G9" s="33"/>
      <c r="H9" s="33"/>
      <c r="I9" s="51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ht="12.75" customHeight="1" outlineLevel="1" spans="1:29">
      <c r="A10" s="40">
        <v>43618</v>
      </c>
      <c r="B10" s="41" t="s">
        <v>205</v>
      </c>
      <c r="C10" s="43" t="s">
        <v>204</v>
      </c>
      <c r="D10" s="33"/>
      <c r="E10" s="33"/>
      <c r="F10" s="33"/>
      <c r="G10" s="33"/>
      <c r="H10" s="33"/>
      <c r="I10" s="51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ht="12.75" customHeight="1" outlineLevel="1" spans="1:29">
      <c r="A11" s="40">
        <v>43648</v>
      </c>
      <c r="B11" s="41" t="s">
        <v>206</v>
      </c>
      <c r="C11" s="43" t="s">
        <v>204</v>
      </c>
      <c r="D11" s="33"/>
      <c r="E11" s="33"/>
      <c r="F11" s="33"/>
      <c r="G11" s="33"/>
      <c r="H11" s="33"/>
      <c r="I11" s="51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ht="12.75" customHeight="1" outlineLevel="1" spans="1:29">
      <c r="A12" s="40">
        <v>43679</v>
      </c>
      <c r="B12" s="41" t="s">
        <v>207</v>
      </c>
      <c r="C12" s="43" t="s">
        <v>204</v>
      </c>
      <c r="D12" s="33"/>
      <c r="E12" s="33"/>
      <c r="F12" s="33"/>
      <c r="G12" s="33"/>
      <c r="H12" s="33"/>
      <c r="I12" s="51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ht="12.75" customHeight="1" outlineLevel="1" spans="1:29">
      <c r="A13" s="40">
        <v>43710</v>
      </c>
      <c r="B13" s="41" t="s">
        <v>208</v>
      </c>
      <c r="C13" s="43" t="s">
        <v>204</v>
      </c>
      <c r="D13" s="33"/>
      <c r="E13" s="33"/>
      <c r="F13" s="33"/>
      <c r="G13" s="33"/>
      <c r="H13" s="33"/>
      <c r="I13" s="51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ht="12.75" customHeight="1" outlineLevel="1" spans="1:29">
      <c r="A14" s="40">
        <v>43740</v>
      </c>
      <c r="B14" s="41" t="s">
        <v>209</v>
      </c>
      <c r="C14" s="43" t="s">
        <v>204</v>
      </c>
      <c r="D14" s="33"/>
      <c r="E14" s="33"/>
      <c r="F14" s="33"/>
      <c r="G14" s="33"/>
      <c r="H14" s="33"/>
      <c r="I14" s="51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ht="12.75" customHeight="1" outlineLevel="1" spans="1:29">
      <c r="A15" s="40">
        <v>43771</v>
      </c>
      <c r="B15" s="41" t="s">
        <v>210</v>
      </c>
      <c r="C15" s="36" t="s">
        <v>196</v>
      </c>
      <c r="D15" s="33"/>
      <c r="E15" s="33"/>
      <c r="F15" s="33"/>
      <c r="G15" s="33"/>
      <c r="H15" s="33"/>
      <c r="I15" s="33"/>
      <c r="J15" s="51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ht="12.75" customHeight="1" spans="1:29">
      <c r="A16" s="34">
        <v>3</v>
      </c>
      <c r="B16" s="35" t="s">
        <v>186</v>
      </c>
      <c r="C16" s="45"/>
      <c r="D16" s="33"/>
      <c r="E16" s="33"/>
      <c r="F16" s="33"/>
      <c r="G16" s="33"/>
      <c r="H16" s="33"/>
      <c r="I16" s="33"/>
      <c r="J16" s="33"/>
      <c r="K16" s="37"/>
      <c r="L16" s="38"/>
      <c r="M16" s="38"/>
      <c r="N16" s="38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ht="12.75" customHeight="1" outlineLevel="1" spans="1:29">
      <c r="A17" s="40">
        <v>43468</v>
      </c>
      <c r="B17" s="41" t="s">
        <v>211</v>
      </c>
      <c r="C17" s="36" t="s">
        <v>212</v>
      </c>
      <c r="D17" s="33"/>
      <c r="E17" s="33"/>
      <c r="F17" s="33"/>
      <c r="G17" s="33"/>
      <c r="H17" s="33"/>
      <c r="I17" s="33"/>
      <c r="J17" s="33"/>
      <c r="K17" s="51"/>
      <c r="L17" s="51"/>
      <c r="M17" s="5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ht="12.75" customHeight="1" outlineLevel="1" spans="1:29">
      <c r="A18" s="40">
        <v>43499</v>
      </c>
      <c r="B18" s="41" t="s">
        <v>198</v>
      </c>
      <c r="C18" s="36" t="s">
        <v>212</v>
      </c>
      <c r="D18" s="33"/>
      <c r="E18" s="33"/>
      <c r="F18" s="33"/>
      <c r="G18" s="33"/>
      <c r="H18" s="33"/>
      <c r="I18" s="33"/>
      <c r="J18" s="33"/>
      <c r="K18" s="51"/>
      <c r="L18" s="51"/>
      <c r="M18" s="51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ht="12.75" customHeight="1" outlineLevel="1" spans="1:29">
      <c r="A19" s="40">
        <v>43527</v>
      </c>
      <c r="B19" s="41" t="s">
        <v>200</v>
      </c>
      <c r="C19" s="36" t="s">
        <v>212</v>
      </c>
      <c r="D19" s="33"/>
      <c r="E19" s="33"/>
      <c r="F19" s="33"/>
      <c r="G19" s="33"/>
      <c r="H19" s="33"/>
      <c r="I19" s="33"/>
      <c r="J19" s="33"/>
      <c r="K19" s="51"/>
      <c r="L19" s="51"/>
      <c r="M19" s="5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ht="12.75" customHeight="1" outlineLevel="1" spans="1:29">
      <c r="A20" s="40">
        <v>43558</v>
      </c>
      <c r="B20" s="41" t="s">
        <v>201</v>
      </c>
      <c r="C20" s="36" t="s">
        <v>212</v>
      </c>
      <c r="D20" s="33"/>
      <c r="E20" s="33"/>
      <c r="F20" s="33"/>
      <c r="G20" s="33"/>
      <c r="H20" s="33"/>
      <c r="I20" s="33"/>
      <c r="J20" s="33"/>
      <c r="K20" s="51"/>
      <c r="L20" s="51"/>
      <c r="M20" s="5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ht="12.75" customHeight="1" outlineLevel="1" spans="1:29">
      <c r="A21" s="40">
        <v>43588</v>
      </c>
      <c r="B21" s="41" t="s">
        <v>203</v>
      </c>
      <c r="C21" s="36" t="s">
        <v>212</v>
      </c>
      <c r="D21" s="33"/>
      <c r="E21" s="33"/>
      <c r="F21" s="33"/>
      <c r="G21" s="33"/>
      <c r="H21" s="33"/>
      <c r="I21" s="33"/>
      <c r="J21" s="33"/>
      <c r="K21" s="51"/>
      <c r="L21" s="51"/>
      <c r="M21" s="51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 ht="12.75" customHeight="1" outlineLevel="1" spans="1:29">
      <c r="A22" s="40">
        <v>43619</v>
      </c>
      <c r="B22" s="41" t="s">
        <v>205</v>
      </c>
      <c r="C22" s="36" t="s">
        <v>212</v>
      </c>
      <c r="D22" s="33"/>
      <c r="E22" s="33"/>
      <c r="F22" s="33"/>
      <c r="G22" s="33"/>
      <c r="H22" s="33"/>
      <c r="I22" s="33"/>
      <c r="J22" s="33"/>
      <c r="K22" s="51"/>
      <c r="L22" s="51"/>
      <c r="M22" s="51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ht="12.75" customHeight="1" outlineLevel="1" spans="1:29">
      <c r="A23" s="40">
        <v>43649</v>
      </c>
      <c r="B23" s="41" t="s">
        <v>206</v>
      </c>
      <c r="C23" s="36" t="s">
        <v>212</v>
      </c>
      <c r="D23" s="33"/>
      <c r="E23" s="33"/>
      <c r="F23" s="33"/>
      <c r="G23" s="33"/>
      <c r="H23" s="33"/>
      <c r="I23" s="33"/>
      <c r="J23" s="33"/>
      <c r="K23" s="51"/>
      <c r="L23" s="51"/>
      <c r="M23" s="51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ht="12.75" customHeight="1" outlineLevel="1" spans="1:29">
      <c r="A24" s="40">
        <v>43680</v>
      </c>
      <c r="B24" s="41" t="s">
        <v>207</v>
      </c>
      <c r="C24" s="36" t="s">
        <v>212</v>
      </c>
      <c r="D24" s="33"/>
      <c r="E24" s="33"/>
      <c r="F24" s="33"/>
      <c r="G24" s="33"/>
      <c r="H24" s="33"/>
      <c r="I24" s="33"/>
      <c r="J24" s="33"/>
      <c r="K24" s="51"/>
      <c r="L24" s="51"/>
      <c r="M24" s="51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ht="12.75" customHeight="1" outlineLevel="1" spans="1:29">
      <c r="A25" s="40">
        <v>43711</v>
      </c>
      <c r="B25" s="41" t="s">
        <v>208</v>
      </c>
      <c r="C25" s="36" t="s">
        <v>212</v>
      </c>
      <c r="D25" s="33"/>
      <c r="E25" s="33"/>
      <c r="F25" s="33"/>
      <c r="G25" s="33"/>
      <c r="H25" s="33"/>
      <c r="I25" s="33"/>
      <c r="J25" s="33"/>
      <c r="K25" s="51"/>
      <c r="L25" s="51"/>
      <c r="M25" s="51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ht="12.75" customHeight="1" outlineLevel="1" spans="1:29">
      <c r="A26" s="40">
        <v>43741</v>
      </c>
      <c r="B26" s="41" t="s">
        <v>209</v>
      </c>
      <c r="C26" s="36" t="s">
        <v>212</v>
      </c>
      <c r="D26" s="33"/>
      <c r="E26" s="33"/>
      <c r="F26" s="33"/>
      <c r="G26" s="33"/>
      <c r="H26" s="33"/>
      <c r="I26" s="33"/>
      <c r="J26" s="33"/>
      <c r="K26" s="51"/>
      <c r="L26" s="51"/>
      <c r="M26" s="51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ht="12.75" customHeight="1" outlineLevel="1" spans="1:29">
      <c r="A27" s="40">
        <v>43772</v>
      </c>
      <c r="B27" s="41" t="s">
        <v>210</v>
      </c>
      <c r="C27" s="36" t="s">
        <v>196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51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ht="12.75" customHeight="1" spans="1:29">
      <c r="A28" s="34">
        <v>4</v>
      </c>
      <c r="B28" s="45" t="s">
        <v>213</v>
      </c>
      <c r="C28" s="46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7"/>
      <c r="P28" s="37"/>
      <c r="Q28" s="37"/>
      <c r="R28" s="37"/>
      <c r="S28" s="37"/>
      <c r="T28" s="37"/>
      <c r="U28" s="37"/>
      <c r="V28" s="37"/>
      <c r="W28" s="33"/>
      <c r="X28" s="33"/>
      <c r="Y28" s="33"/>
      <c r="Z28" s="33"/>
      <c r="AA28" s="33"/>
      <c r="AB28" s="33"/>
      <c r="AC28" s="33"/>
    </row>
    <row r="29" ht="12.75" customHeight="1" outlineLevel="1" spans="1:29">
      <c r="A29" s="40">
        <v>43469</v>
      </c>
      <c r="B29" s="41" t="s">
        <v>211</v>
      </c>
      <c r="C29" s="36" t="s">
        <v>214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51"/>
      <c r="P29" s="51"/>
      <c r="Q29" s="51"/>
      <c r="R29" s="51"/>
      <c r="S29" s="51"/>
      <c r="T29" s="51"/>
      <c r="U29" s="51"/>
      <c r="V29" s="33"/>
      <c r="W29" s="33"/>
      <c r="X29" s="33"/>
      <c r="Y29" s="33"/>
      <c r="Z29" s="33"/>
      <c r="AA29" s="33"/>
      <c r="AB29" s="33"/>
      <c r="AC29" s="33"/>
    </row>
    <row r="30" ht="12.75" customHeight="1" outlineLevel="1" spans="1:29">
      <c r="A30" s="47">
        <v>43500</v>
      </c>
      <c r="B30" s="41" t="s">
        <v>198</v>
      </c>
      <c r="C30" s="36" t="s">
        <v>199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51"/>
      <c r="P30" s="51"/>
      <c r="Q30" s="51"/>
      <c r="R30" s="51"/>
      <c r="S30" s="51"/>
      <c r="T30" s="51"/>
      <c r="U30" s="51"/>
      <c r="V30" s="33"/>
      <c r="W30" s="33"/>
      <c r="X30" s="33"/>
      <c r="Y30" s="33"/>
      <c r="Z30" s="33"/>
      <c r="AA30" s="33"/>
      <c r="AB30" s="33"/>
      <c r="AC30" s="33"/>
    </row>
    <row r="31" ht="12.75" customHeight="1" outlineLevel="1" spans="1:29">
      <c r="A31" s="47">
        <v>43528</v>
      </c>
      <c r="B31" s="41" t="s">
        <v>200</v>
      </c>
      <c r="C31" s="36" t="s">
        <v>215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51"/>
      <c r="P31" s="51"/>
      <c r="Q31" s="51"/>
      <c r="R31" s="51"/>
      <c r="S31" s="51"/>
      <c r="T31" s="51"/>
      <c r="U31" s="51"/>
      <c r="V31" s="33"/>
      <c r="W31" s="33"/>
      <c r="X31" s="33"/>
      <c r="Y31" s="33"/>
      <c r="Z31" s="33"/>
      <c r="AA31" s="33"/>
      <c r="AB31" s="33"/>
      <c r="AC31" s="33"/>
    </row>
    <row r="32" ht="12.75" customHeight="1" outlineLevel="1" spans="1:29">
      <c r="A32" s="47">
        <v>43559</v>
      </c>
      <c r="B32" s="41" t="s">
        <v>201</v>
      </c>
      <c r="C32" s="36" t="s">
        <v>202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51"/>
      <c r="P32" s="51"/>
      <c r="Q32" s="51"/>
      <c r="R32" s="51"/>
      <c r="S32" s="51"/>
      <c r="T32" s="51"/>
      <c r="U32" s="51"/>
      <c r="V32" s="33"/>
      <c r="W32" s="33"/>
      <c r="X32" s="33"/>
      <c r="Y32" s="33"/>
      <c r="Z32" s="33"/>
      <c r="AA32" s="33"/>
      <c r="AB32" s="33"/>
      <c r="AC32" s="33"/>
    </row>
    <row r="33" ht="12.75" customHeight="1" outlineLevel="1" spans="1:29">
      <c r="A33" s="47">
        <v>43589</v>
      </c>
      <c r="B33" s="41" t="s">
        <v>203</v>
      </c>
      <c r="C33" s="43" t="s">
        <v>216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51"/>
      <c r="P33" s="51"/>
      <c r="Q33" s="51"/>
      <c r="R33" s="51"/>
      <c r="S33" s="51"/>
      <c r="T33" s="51"/>
      <c r="U33" s="51"/>
      <c r="V33" s="33"/>
      <c r="W33" s="33"/>
      <c r="X33" s="33"/>
      <c r="Y33" s="33"/>
      <c r="Z33" s="33"/>
      <c r="AA33" s="33"/>
      <c r="AB33" s="33"/>
      <c r="AC33" s="33"/>
    </row>
    <row r="34" ht="12.75" customHeight="1" outlineLevel="1" spans="1:29">
      <c r="A34" s="40">
        <v>43620</v>
      </c>
      <c r="B34" s="41" t="s">
        <v>205</v>
      </c>
      <c r="C34" s="36" t="s">
        <v>217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51"/>
      <c r="P34" s="51"/>
      <c r="Q34" s="51"/>
      <c r="R34" s="51"/>
      <c r="S34" s="51"/>
      <c r="T34" s="51"/>
      <c r="U34" s="51"/>
      <c r="V34" s="33"/>
      <c r="W34" s="33"/>
      <c r="X34" s="33"/>
      <c r="Y34" s="33"/>
      <c r="Z34" s="33"/>
      <c r="AA34" s="33"/>
      <c r="AB34" s="33"/>
      <c r="AC34" s="33"/>
    </row>
    <row r="35" ht="12.75" customHeight="1" outlineLevel="1" spans="1:29">
      <c r="A35" s="40">
        <v>43650</v>
      </c>
      <c r="B35" s="41" t="s">
        <v>206</v>
      </c>
      <c r="C35" s="36" t="s">
        <v>218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51"/>
      <c r="P35" s="51"/>
      <c r="Q35" s="51"/>
      <c r="R35" s="51"/>
      <c r="S35" s="51"/>
      <c r="T35" s="51"/>
      <c r="U35" s="51"/>
      <c r="V35" s="33"/>
      <c r="W35" s="33"/>
      <c r="X35" s="33"/>
      <c r="Y35" s="33"/>
      <c r="Z35" s="33"/>
      <c r="AA35" s="33"/>
      <c r="AB35" s="33"/>
      <c r="AC35" s="33"/>
    </row>
    <row r="36" ht="12.75" customHeight="1" outlineLevel="1" spans="1:29">
      <c r="A36" s="40">
        <v>43681</v>
      </c>
      <c r="B36" s="41" t="s">
        <v>207</v>
      </c>
      <c r="C36" s="36" t="s">
        <v>219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51"/>
      <c r="P36" s="51"/>
      <c r="Q36" s="51"/>
      <c r="R36" s="51"/>
      <c r="S36" s="51"/>
      <c r="T36" s="51"/>
      <c r="U36" s="51"/>
      <c r="V36" s="33"/>
      <c r="W36" s="33"/>
      <c r="X36" s="33"/>
      <c r="Y36" s="33"/>
      <c r="Z36" s="33"/>
      <c r="AA36" s="33"/>
      <c r="AB36" s="33"/>
      <c r="AC36" s="33"/>
    </row>
    <row r="37" ht="12.75" customHeight="1" outlineLevel="1" spans="1:29">
      <c r="A37" s="40">
        <v>43712</v>
      </c>
      <c r="B37" s="41" t="s">
        <v>208</v>
      </c>
      <c r="C37" s="36" t="s">
        <v>220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51"/>
      <c r="P37" s="51"/>
      <c r="Q37" s="51"/>
      <c r="R37" s="51"/>
      <c r="S37" s="51"/>
      <c r="T37" s="51"/>
      <c r="U37" s="51"/>
      <c r="V37" s="33"/>
      <c r="W37" s="33"/>
      <c r="X37" s="33"/>
      <c r="Y37" s="33"/>
      <c r="Z37" s="33"/>
      <c r="AA37" s="33"/>
      <c r="AB37" s="33"/>
      <c r="AC37" s="33"/>
    </row>
    <row r="38" ht="12.75" customHeight="1" outlineLevel="1" spans="1:29">
      <c r="A38" s="40">
        <v>43742</v>
      </c>
      <c r="B38" s="41" t="s">
        <v>209</v>
      </c>
      <c r="C38" s="43" t="s">
        <v>221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51"/>
      <c r="P38" s="51"/>
      <c r="Q38" s="51"/>
      <c r="R38" s="51"/>
      <c r="S38" s="51"/>
      <c r="T38" s="51"/>
      <c r="U38" s="51"/>
      <c r="V38" s="33"/>
      <c r="Z38" s="33"/>
      <c r="AA38" s="33"/>
      <c r="AB38" s="33"/>
      <c r="AC38" s="33"/>
    </row>
    <row r="39" ht="12.75" customHeight="1" outlineLevel="1" spans="1:29">
      <c r="A39" s="40">
        <v>43773</v>
      </c>
      <c r="B39" s="41" t="s">
        <v>210</v>
      </c>
      <c r="C39" s="36" t="s">
        <v>196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51"/>
      <c r="Z39" s="33"/>
      <c r="AA39" s="33"/>
      <c r="AB39" s="33"/>
      <c r="AC39" s="33"/>
    </row>
    <row r="40" ht="12.75" customHeight="1" spans="1:29">
      <c r="A40" s="46">
        <v>5</v>
      </c>
      <c r="B40" s="45" t="s">
        <v>188</v>
      </c>
      <c r="C40" s="48" t="s">
        <v>196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7"/>
      <c r="X40" s="38"/>
      <c r="Y40" s="38"/>
      <c r="AA40" s="33"/>
      <c r="AB40" s="33"/>
      <c r="AC40" s="33"/>
    </row>
    <row r="41" ht="15.75" customHeight="1" spans="1:26">
      <c r="A41" s="49">
        <v>6</v>
      </c>
      <c r="B41" s="45" t="s">
        <v>210</v>
      </c>
      <c r="C41" s="50" t="s">
        <v>196</v>
      </c>
      <c r="Z41" s="53" t="s">
        <v>136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1:Z1"/>
    <mergeCell ref="D3:H3"/>
    <mergeCell ref="I4:J4"/>
    <mergeCell ref="K16:N16"/>
    <mergeCell ref="W40:Y40"/>
    <mergeCell ref="A1:A2"/>
    <mergeCell ref="B1:B2"/>
    <mergeCell ref="C1:C2"/>
  </mergeCell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topLeftCell="A30" workbookViewId="0">
      <selection activeCell="C52" sqref="C52"/>
    </sheetView>
  </sheetViews>
  <sheetFormatPr defaultColWidth="14.4285714285714" defaultRowHeight="15" customHeight="1"/>
  <cols>
    <col min="1" max="1" width="6.14285714285714" customWidth="1"/>
    <col min="2" max="2" width="5" customWidth="1"/>
    <col min="3" max="3" width="34.1428571428571" customWidth="1"/>
    <col min="4" max="4" width="75.1428571428571" customWidth="1"/>
    <col min="5" max="5" width="16.1428571428571" customWidth="1"/>
    <col min="6" max="6" width="14.1428571428571" customWidth="1"/>
    <col min="7" max="24" width="8" customWidth="1"/>
  </cols>
  <sheetData>
    <row r="1" ht="12.75" customHeight="1" spans="1:2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6.25" customHeight="1" spans="1:24">
      <c r="A2" s="1"/>
      <c r="B2" s="1"/>
      <c r="C2" s="1"/>
      <c r="D2" s="2" t="s">
        <v>36</v>
      </c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2.75" customHeight="1" spans="1:24">
      <c r="A3" s="1"/>
      <c r="B3" s="4"/>
      <c r="C3" s="4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2.75" customHeight="1" spans="1:24">
      <c r="A4" s="1"/>
      <c r="B4" s="5" t="s">
        <v>222</v>
      </c>
      <c r="C4" s="5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6.5" customHeight="1" spans="1:24">
      <c r="A5" s="1"/>
      <c r="B5" s="6" t="s">
        <v>45</v>
      </c>
      <c r="C5" s="6" t="s">
        <v>223</v>
      </c>
      <c r="D5" s="7" t="s">
        <v>224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4.25" customHeight="1" spans="1:24">
      <c r="A6" s="1"/>
      <c r="B6" s="8">
        <v>1</v>
      </c>
      <c r="C6" s="8"/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4.25" customHeight="1" spans="1:24">
      <c r="A7" s="1"/>
      <c r="B7" s="10">
        <v>2</v>
      </c>
      <c r="C7" s="10"/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4.25" customHeight="1" spans="1:24">
      <c r="A8" s="1"/>
      <c r="B8" s="10">
        <v>3</v>
      </c>
      <c r="C8" s="10"/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4.25" customHeight="1" spans="1:24">
      <c r="A9" s="1"/>
      <c r="B9" s="10">
        <v>4</v>
      </c>
      <c r="C9" s="10"/>
      <c r="D9" s="1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4.25" customHeight="1" spans="1:24">
      <c r="A10" s="1"/>
      <c r="B10" s="10">
        <v>5</v>
      </c>
      <c r="C10" s="10"/>
      <c r="D10" s="1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4.25" customHeight="1" spans="1:24">
      <c r="A11" s="1"/>
      <c r="B11" s="10">
        <v>6</v>
      </c>
      <c r="C11" s="10"/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4.25" customHeight="1" spans="1:24">
      <c r="A12" s="1"/>
      <c r="B12" s="10">
        <v>7</v>
      </c>
      <c r="C12" s="10"/>
      <c r="D12" s="1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4.25" customHeight="1" spans="1:24">
      <c r="A13" s="1"/>
      <c r="B13" s="10">
        <v>8</v>
      </c>
      <c r="C13" s="10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4.25" customHeight="1" spans="1:24">
      <c r="A14" s="1"/>
      <c r="B14" s="10">
        <v>9</v>
      </c>
      <c r="C14" s="10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4.25" customHeight="1" spans="1:24">
      <c r="A15" s="1"/>
      <c r="B15" s="10">
        <v>10</v>
      </c>
      <c r="C15" s="10"/>
      <c r="D15" s="1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4.25" customHeight="1" spans="1:24">
      <c r="A16" s="1"/>
      <c r="B16" s="10">
        <v>11</v>
      </c>
      <c r="C16" s="10"/>
      <c r="D16" s="1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4.25" customHeight="1" spans="1:24">
      <c r="A17" s="1"/>
      <c r="B17" s="10">
        <v>12</v>
      </c>
      <c r="C17" s="10"/>
      <c r="D17" s="1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4.25" customHeight="1" spans="1:24">
      <c r="A18" s="1"/>
      <c r="B18" s="10">
        <v>13</v>
      </c>
      <c r="C18" s="10"/>
      <c r="D18" s="1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4.25" customHeight="1" spans="1:24">
      <c r="A19" s="1"/>
      <c r="B19" s="10">
        <v>14</v>
      </c>
      <c r="C19" s="10"/>
      <c r="D19" s="1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4.25" customHeight="1" spans="1:24">
      <c r="A20" s="1"/>
      <c r="B20" s="10">
        <v>15</v>
      </c>
      <c r="C20" s="10"/>
      <c r="D20" s="1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4.25" customHeight="1" spans="1:24">
      <c r="A21" s="1"/>
      <c r="B21" s="10">
        <v>17</v>
      </c>
      <c r="C21" s="10"/>
      <c r="D21" s="1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2.75" customHeight="1" spans="1:24">
      <c r="A22" s="1"/>
      <c r="B22" s="12"/>
      <c r="C22" s="13"/>
      <c r="D22" s="1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2.75" customHeight="1" spans="1:2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2.75" customHeight="1" spans="1: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2.75" customHeight="1" spans="1:24">
      <c r="A25" s="1"/>
      <c r="B25" s="5" t="s">
        <v>225</v>
      </c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2.75" customHeight="1" spans="1:24">
      <c r="A26" s="1"/>
      <c r="B26" s="7" t="s">
        <v>45</v>
      </c>
      <c r="C26" s="7"/>
      <c r="D26" s="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2.75" customHeight="1" spans="1:24">
      <c r="A27" s="1"/>
      <c r="B27" s="15">
        <v>1</v>
      </c>
      <c r="C27" s="10"/>
      <c r="D27" s="1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2.75" customHeight="1" spans="1:24">
      <c r="A28" s="1"/>
      <c r="B28" s="15">
        <v>1</v>
      </c>
      <c r="C28" s="10"/>
      <c r="D28" s="1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69.75" customHeight="1" spans="1:24">
      <c r="A29" s="1"/>
      <c r="B29" s="15">
        <v>2</v>
      </c>
      <c r="C29" s="10"/>
      <c r="D29" s="1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45.75" customHeight="1" spans="1:24">
      <c r="A30" s="1"/>
      <c r="B30" s="15">
        <v>3</v>
      </c>
      <c r="C30" s="10"/>
      <c r="D30" s="1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2.75" customHeight="1" spans="1:24">
      <c r="A31" s="1"/>
      <c r="B31" s="15">
        <v>4</v>
      </c>
      <c r="C31" s="10"/>
      <c r="D31" s="1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2.75" customHeight="1" spans="1:24">
      <c r="A32" s="1"/>
      <c r="B32" s="16"/>
      <c r="C32" s="17"/>
      <c r="D32" s="1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2.75" customHeight="1" spans="1:24">
      <c r="A33" s="1"/>
      <c r="B33" s="19" t="s">
        <v>45</v>
      </c>
      <c r="C33" s="19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2.75" customHeight="1" spans="1:24">
      <c r="A34" s="1"/>
      <c r="B34" s="15">
        <v>4</v>
      </c>
      <c r="C34" s="20"/>
      <c r="D34" s="1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2.75" customHeight="1" spans="1:24">
      <c r="A35" s="1"/>
      <c r="B35" s="15">
        <v>5</v>
      </c>
      <c r="C35" s="20"/>
      <c r="D35" s="1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2.75" customHeight="1" spans="1:24">
      <c r="A36" s="1"/>
      <c r="B36" s="15">
        <v>6</v>
      </c>
      <c r="C36" s="20"/>
      <c r="D36" s="1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2.75" customHeight="1" spans="1:24">
      <c r="A37" s="1"/>
      <c r="B37" s="15">
        <v>7</v>
      </c>
      <c r="C37" s="20"/>
      <c r="D37" s="1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2.75" customHeight="1" spans="1:24">
      <c r="A38" s="1"/>
      <c r="B38" s="15">
        <v>8</v>
      </c>
      <c r="C38" s="20"/>
      <c r="D38" s="1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2.75" customHeight="1" spans="1:24">
      <c r="A39" s="1"/>
      <c r="B39" s="15">
        <v>9</v>
      </c>
      <c r="C39" s="20"/>
      <c r="D39" s="1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2.75" customHeight="1" spans="1:24">
      <c r="A40" s="1"/>
      <c r="B40" s="15">
        <v>10</v>
      </c>
      <c r="C40" s="20"/>
      <c r="D40" s="1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2.75" customHeight="1" spans="1:24">
      <c r="A41" s="1"/>
      <c r="B41" s="15">
        <v>11</v>
      </c>
      <c r="C41" s="20"/>
      <c r="D41" s="2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2.75" customHeight="1" spans="1:24">
      <c r="A42" s="1"/>
      <c r="B42" s="15">
        <v>12</v>
      </c>
      <c r="C42" s="20"/>
      <c r="D42" s="1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2.75" customHeight="1" spans="1:24">
      <c r="A43" s="1"/>
      <c r="B43" s="15">
        <v>13</v>
      </c>
      <c r="C43" s="20"/>
      <c r="D43" s="2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2.75" customHeight="1" spans="1:24">
      <c r="A44" s="1"/>
      <c r="B44" s="15">
        <v>14</v>
      </c>
      <c r="C44" s="20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2.75" customHeight="1" spans="1:24">
      <c r="A45" s="1"/>
      <c r="B45" s="23"/>
      <c r="C45" s="24"/>
      <c r="D45" s="1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2.75" customHeight="1" spans="1: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2.75" customHeight="1" spans="1:24">
      <c r="A47" s="1"/>
      <c r="B47" s="1" t="s">
        <v>226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2.75" customHeight="1" spans="1:24">
      <c r="A48" s="1"/>
      <c r="B48" s="1">
        <v>1</v>
      </c>
      <c r="C48" s="1" t="s">
        <v>10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2.75" customHeight="1" spans="1:24">
      <c r="A49" s="1"/>
      <c r="B49" s="1">
        <v>2</v>
      </c>
      <c r="C49" s="1" t="s">
        <v>168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2.75" customHeight="1" spans="1:24">
      <c r="A50" s="1"/>
      <c r="B50" s="1">
        <v>3</v>
      </c>
      <c r="C50" s="20" t="s">
        <v>227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2.75" customHeight="1" spans="1:24">
      <c r="A51" s="1"/>
      <c r="B51" s="1">
        <v>4</v>
      </c>
      <c r="C51" s="1" t="s">
        <v>228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2.75" customHeight="1" spans="1:24">
      <c r="A52" s="1"/>
      <c r="B52" s="1">
        <v>5</v>
      </c>
      <c r="C52" s="1" t="s">
        <v>229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2.75" customHeight="1" spans="1: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2.75" customHeight="1" spans="1:2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2.75" customHeight="1" spans="1: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2.75" customHeight="1" spans="1: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2.75" customHeight="1" spans="1:2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2.75" customHeight="1" spans="1: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2.75" customHeight="1" spans="1: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2.75" customHeight="1" spans="1:2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2.75" customHeight="1" spans="1: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2.75" customHeight="1" spans="1:2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2.75" customHeight="1" spans="1: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2.75" customHeight="1" spans="1:2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2.75" customHeight="1" spans="1: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2.75" customHeight="1" spans="1: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2.75" customHeight="1" spans="1: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2.75" customHeight="1" spans="1: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2.75" customHeight="1" spans="1: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2.75" customHeight="1" spans="1: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2.75" customHeight="1" spans="1:2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2.75" customHeight="1" spans="1:2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2.75" customHeight="1" spans="1:2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2.75" customHeight="1" spans="1:2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2.75" customHeight="1" spans="1:2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2.75" customHeight="1" spans="1:2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2.75" customHeight="1" spans="1:2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2.75" customHeight="1" spans="1:2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2.75" customHeight="1" spans="1:2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2.75" customHeight="1" spans="1: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2.75" customHeight="1" spans="1:2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2.75" customHeight="1" spans="1: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2.75" customHeight="1" spans="1: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2.75" customHeight="1" spans="1: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2.75" customHeight="1" spans="1: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2.75" customHeight="1" spans="1: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2.75" customHeight="1" spans="1: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2.75" customHeight="1" spans="1: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2.75" customHeight="1" spans="1: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2.75" customHeight="1" spans="1: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2.75" customHeight="1" spans="1: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2.75" customHeight="1" spans="1: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2.75" customHeight="1" spans="1: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2.75" customHeight="1" spans="1: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2.75" customHeight="1" spans="1: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2.75" customHeight="1" spans="1: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2.75" customHeight="1" spans="1: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2.75" customHeight="1" spans="1: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2.75" customHeight="1" spans="1: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2.75" customHeight="1" spans="1: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2.75" customHeight="1" spans="1: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2.75" customHeight="1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2.75" customHeight="1" spans="1: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2.75" customHeight="1" spans="1: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2.75" customHeight="1" spans="1: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2.75" customHeight="1" spans="1: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2.75" customHeight="1" spans="1: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2.75" customHeight="1" spans="1: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2.75" customHeight="1" spans="1: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2.75" customHeight="1" spans="1: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2.75" customHeight="1" spans="1: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2.75" customHeight="1" spans="1: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2.75" customHeight="1" spans="1: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2.75" customHeight="1" spans="1: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2.75" customHeight="1" spans="1: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2.75" customHeight="1" spans="1: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2.75" customHeight="1" spans="1: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2.75" customHeight="1" spans="1: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2.75" customHeight="1" spans="1: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2.75" customHeight="1" spans="1: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2.75" customHeight="1" spans="1: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2.75" customHeight="1" spans="1: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2.75" customHeight="1" spans="1: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2.75" customHeight="1" spans="1: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2.75" customHeight="1" spans="1: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2.75" customHeight="1" spans="1:2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2.75" customHeight="1" spans="1:2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2.75" customHeight="1" spans="1:2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2.75" customHeight="1" spans="1:2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2.75" customHeight="1" spans="1: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2.75" customHeight="1" spans="1: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2.75" customHeight="1" spans="1: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2.75" customHeight="1" spans="1: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2.75" customHeight="1" spans="1: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2.75" customHeight="1" spans="1: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2.75" customHeight="1" spans="1: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2.75" customHeight="1" spans="1: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2.75" customHeight="1" spans="1: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2.75" customHeight="1" spans="1: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2.75" customHeight="1" spans="1: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2.75" customHeight="1" spans="1: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2.75" customHeight="1" spans="1: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2.75" customHeight="1" spans="1: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2.75" customHeight="1" spans="1: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2.75" customHeight="1" spans="1: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2.75" customHeight="1" spans="1: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2.75" customHeight="1" spans="1: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2.75" customHeight="1" spans="1: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2.75" customHeight="1" spans="1: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2.75" customHeight="1" spans="1: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2.75" customHeight="1" spans="1:2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2.75" customHeight="1" spans="1:2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2.75" customHeight="1" spans="1:2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2.75" customHeight="1" spans="1:2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2.75" customHeight="1" spans="1:2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2.75" customHeight="1" spans="1:2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2.75" customHeight="1" spans="1:2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2.75" customHeight="1" spans="1:2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2.75" customHeight="1" spans="1:2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2.75" customHeight="1" spans="1:2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2.75" customHeight="1" spans="1:2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2.75" customHeight="1" spans="1:2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2.75" customHeight="1" spans="1:2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2.75" customHeight="1" spans="1:2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2.75" customHeight="1" spans="1:2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2.75" customHeight="1" spans="1:2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2.75" customHeight="1" spans="1:2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2.75" customHeight="1" spans="1:2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2.75" customHeight="1" spans="1:2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2.75" customHeight="1" spans="1:2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2.75" customHeight="1" spans="1:2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2.75" customHeight="1" spans="1:2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2.75" customHeight="1" spans="1:2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2.75" customHeight="1" spans="1:2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2.75" customHeight="1" spans="1:2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2.75" customHeight="1" spans="1:2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2.75" customHeight="1" spans="1:2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2.75" customHeight="1" spans="1:2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2.75" customHeight="1" spans="1:2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2.75" customHeight="1" spans="1:2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2.75" customHeight="1" spans="1:2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2.75" customHeight="1" spans="1:2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2.75" customHeight="1" spans="1:2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2.75" customHeight="1" spans="1:2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2.75" customHeight="1" spans="1:2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2.75" customHeight="1" spans="1:2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2.75" customHeight="1" spans="1:2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2.75" customHeight="1" spans="1:2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2.75" customHeight="1" spans="1:2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2.75" customHeight="1" spans="1:2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2.75" customHeight="1" spans="1:2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2.75" customHeight="1" spans="1:2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2.75" customHeight="1" spans="1:2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2.75" customHeight="1" spans="1:2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2.75" customHeight="1" spans="1:2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2.75" customHeight="1" spans="1:2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2.75" customHeight="1" spans="1:2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2.75" customHeight="1" spans="1:2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2.75" customHeight="1" spans="1:2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2.75" customHeight="1" spans="1:2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2.75" customHeight="1" spans="1:2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2.75" customHeight="1" spans="1:2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2.75" customHeight="1" spans="1:2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2.75" customHeight="1" spans="1:2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2.75" customHeight="1" spans="1:2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2.75" customHeight="1" spans="1:2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2.75" customHeight="1" spans="1:2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2.75" customHeight="1" spans="1:2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2.75" customHeight="1" spans="1:2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2.75" customHeight="1" spans="1:2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2.75" customHeight="1" spans="1:2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2.75" customHeight="1" spans="1:2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2.75" customHeight="1" spans="1:2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2.75" customHeight="1" spans="1:2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2.75" customHeight="1" spans="1:2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2.75" customHeight="1" spans="1:2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2.75" customHeight="1" spans="1:2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2.75" customHeight="1" spans="1:2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2.75" customHeight="1" spans="1:2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2.75" customHeight="1" spans="1:2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2.75" customHeight="1" spans="1:2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2.75" customHeight="1" spans="1:2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2.75" customHeight="1" spans="1:2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2.75" customHeight="1" spans="1: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2.75" customHeight="1" spans="1:2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2.75" customHeight="1" spans="1:2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2.75" customHeight="1" spans="1:2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2.75" customHeight="1" spans="1:2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2.75" customHeight="1" spans="1:2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2.75" customHeight="1" spans="1:2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2.75" customHeight="1" spans="1:2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2.75" customHeight="1" spans="1:2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2.75" customHeight="1" spans="1:2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2.75" customHeight="1" spans="1:2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2.75" customHeight="1" spans="1:2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2.75" customHeight="1" spans="1:2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2.75" customHeight="1" spans="1:2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2.75" customHeight="1" spans="1:2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2.75" customHeight="1" spans="1:2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2.75" customHeight="1" spans="1:2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2.75" customHeight="1" spans="1:2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2.75" customHeight="1" spans="1:2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2.75" customHeight="1" spans="1:2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2.75" customHeight="1" spans="1:2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</cp:lastModifiedBy>
  <dcterms:created xsi:type="dcterms:W3CDTF">2024-10-26T05:32:00Z</dcterms:created>
  <dcterms:modified xsi:type="dcterms:W3CDTF">2024-11-01T13:26:35Z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B6391B3E42F44D1690B8134CFCB17034_12</vt:lpwstr>
  </property>
  <property fmtid="{D5CDD505-2E9C-101B-9397-08002B2CF9AE}" pid="3" name="KSOProductBuildVer">
    <vt:lpwstr>1033-12.2.0.18607</vt:lpwstr>
  </property>
</Properties>
</file>